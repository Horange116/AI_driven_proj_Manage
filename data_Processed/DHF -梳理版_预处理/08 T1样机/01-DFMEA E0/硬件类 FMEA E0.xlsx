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01-DFMEA E0\"/>
    </mc:Choice>
  </mc:AlternateContent>
  <xr:revisionPtr revIDLastSave="0" documentId="8_{C8546FD5-91D3-4AEA-AA0B-CDDC75B996B4}" xr6:coauthVersionLast="47" xr6:coauthVersionMax="47" xr10:uidLastSave="{00000000-0000-0000-0000-000000000000}"/>
  <bookViews>
    <workbookView xWindow="-98" yWindow="-98" windowWidth="23596" windowHeight="15076" tabRatio="591" xr2:uid="{D1400A13-BA2A-4123-9B85-AF66419812E3}"/>
  </bookViews>
  <sheets>
    <sheet name="失效模式分析" sheetId="1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hidden="1">[1]D!$C$76:$N$76</definedName>
    <definedName name="_1__123Graph_ACHART_1" hidden="1">[2]A!$J$144:$U$144</definedName>
    <definedName name="_2__123Graph_ACHART_10" hidden="1">[2]A!$J$17:$U$17</definedName>
    <definedName name="_3__123Graph_ACHART_11" hidden="1">[1]D!$C$203:$N$203</definedName>
    <definedName name="_4__123Graph_ACHART_12" hidden="1">[1]D!$C$6:$N$6</definedName>
    <definedName name="_5__123Graph_ACHART_13" hidden="1">[1]D!$C$30:$N$30</definedName>
    <definedName name="_6__123Graph_ACHART_14" hidden="1">[1]D!$C$53:$N$53</definedName>
    <definedName name="_7__123Graph_ACHART_15" hidden="1">[1]D!$C$76:$N$76</definedName>
    <definedName name="_8__123Graph_ACHART_16" hidden="1">[1]D!$C$111:$N$111</definedName>
    <definedName name="_9__123Graph_ACHART_17" hidden="1">[1]D!$C$233:$N$233</definedName>
    <definedName name="_10__123Graph_AChart_1A" hidden="1">[3]Cntmrs!$B$20:$M$20</definedName>
    <definedName name="_11__123Graph_ACHART_2" hidden="1">[2]A!$J$6:$U$6</definedName>
    <definedName name="_12__123Graph_AChart_2A" hidden="1">[3]Cntmrs!$P$20:$S$20</definedName>
    <definedName name="_13__123Graph_ACHART_3" hidden="1">[1]D!$C$18:$N$18</definedName>
    <definedName name="_14__123Graph_ACHART_4" hidden="1">[2]A!$L$25:$U$25</definedName>
    <definedName name="_15__123Graph_ACHART_5" hidden="1">[2]A!$J$204:$U$204</definedName>
    <definedName name="_16__123Graph_ACHART_6" hidden="1">[1]D!$C$41:$N$41</definedName>
    <definedName name="_17__123Graph_ACHART_7" hidden="1">[1]D!$C$35:$N$35</definedName>
    <definedName name="_18__123Graph_ACHART_8" hidden="1">[1]D!$C$47:$N$47</definedName>
    <definedName name="_19__123Graph_ACHART_9" hidden="1">[1]D!$C$209:$N$209</definedName>
    <definedName name="__123Graph_AL1005" hidden="1">[1]D!$C$179:$N$179</definedName>
    <definedName name="__123Graph_AL1006" hidden="1">[1]D!$C$185:$N$185</definedName>
    <definedName name="__123Graph_AL460" hidden="1">[1]D!$C$191:$N$191</definedName>
    <definedName name="__123Graph_AL750" hidden="1">[1]D!$C$197:$N$197</definedName>
    <definedName name="__123Graph_AMIN34" hidden="1">[1]D!$C$70:$N$70</definedName>
    <definedName name="__123Graph_AMINE1" hidden="1">[1]D!$C$6:$N$6</definedName>
    <definedName name="__123Graph_AMING2" hidden="1">[1]D!$C$64:$N$64</definedName>
    <definedName name="__123Graph_AS245A" hidden="1">[1]D!$C$115:$N$115</definedName>
    <definedName name="__123Graph_AS245B" hidden="1">[1]D!$C$121:$N$121</definedName>
    <definedName name="__123Graph_AS245C" hidden="1">[1]D!$C$127:$N$127</definedName>
    <definedName name="__123Graph_AS245D" hidden="1">[1]D!$C$133:$N$133</definedName>
    <definedName name="__123Graph_AS550" hidden="1">[1]D!$C$169:$N$169</definedName>
    <definedName name="__123Graph_AS625A" hidden="1">[1]D!$C$139:$N$139</definedName>
    <definedName name="__123Graph_AS625B" hidden="1">[1]D!$C$145:$N$145</definedName>
    <definedName name="__123Graph_AS625C" hidden="1">[1]D!$C$151:$N$151</definedName>
    <definedName name="__123Graph_AS750A" hidden="1">[1]D!$C$163:$N$163</definedName>
    <definedName name="__123Graph_ASFX56A" hidden="1">[1]D!$C$81:$N$81</definedName>
    <definedName name="__123Graph_ASFX56B" hidden="1">[1]D!$C$87:$N$87</definedName>
    <definedName name="__123Graph_ASFX56C" hidden="1">[1]D!$C$93:$N$93</definedName>
    <definedName name="__123Graph_ASFX56D" hidden="1">[1]D!$C$99:$N$99</definedName>
    <definedName name="__123Graph_ASFX56E" hidden="1">[1]D!$C$105:$N$105</definedName>
    <definedName name="__123Graph_ATOTLF" hidden="1">[1]D!$C$233:$N$233</definedName>
    <definedName name="__123Graph_ATOTMIN" hidden="1">[1]D!$C$76:$N$76</definedName>
    <definedName name="__123Graph_ATOTSF" hidden="1">[1]D!$C$175:$N$175</definedName>
    <definedName name="__123Graph_ATSALT" hidden="1">[1]D!$C$237:$N$237</definedName>
    <definedName name="__123Graph_B" hidden="1">[1]D!$C$78:$N$78</definedName>
    <definedName name="_20__123Graph_BCHART_1" hidden="1">[2]A!$J$145:$U$145</definedName>
    <definedName name="_21__123Graph_BCHART_10" hidden="1">[2]A!$J$24:$U$24</definedName>
    <definedName name="_22__123Graph_BCHART_11" hidden="1">[1]D!$C$205:$N$205</definedName>
    <definedName name="_23__123Graph_BCHART_12" hidden="1">[1]D!$C$8:$N$8</definedName>
    <definedName name="_24__123Graph_BCHART_13" hidden="1">[1]D!$C$32:$N$32</definedName>
    <definedName name="_25__123Graph_BCHART_14" hidden="1">[1]D!$C$55:$N$55</definedName>
    <definedName name="_26__123Graph_BCHART_15" hidden="1">[2]A!$J$139:$U$139</definedName>
    <definedName name="_27__123Graph_BCHART_16" hidden="1">[1]D!$C$113:$N$113</definedName>
    <definedName name="_28__123Graph_BCHART_17" hidden="1">[2]A!$J$131:$U$131</definedName>
    <definedName name="_29__123Graph_BCHART_19" hidden="1">[2]A!$J$153:$U$153</definedName>
    <definedName name="_30__123Graph_BChart_1A" hidden="1">[3]Cntmrs!$B$21:$M$21</definedName>
    <definedName name="_31__123Graph_BCHART_2" hidden="1">[2]A!$J$7:$U$7</definedName>
    <definedName name="_32__123Graph_BCHART_3" hidden="1">[1]D!$C$20:$N$20</definedName>
    <definedName name="_33__123Graph_BCHART_4" hidden="1">[2]A!$L$128:$U$128</definedName>
    <definedName name="_34__123Graph_BCHART_5" hidden="1">[1]D!$C$26:$N$26</definedName>
    <definedName name="_35__123Graph_BCHART_6" hidden="1">[1]D!$C$43:$N$43</definedName>
    <definedName name="_36__123Graph_BCHART_7" hidden="1">[1]D!$C$37:$N$37</definedName>
    <definedName name="_37__123Graph_BCHART_8" hidden="1">'[4]2000'!$C$12:$N$12</definedName>
    <definedName name="_38__123Graph_BCHART_9" hidden="1">[1]D!$C$211:$N$211</definedName>
    <definedName name="__123Graph_BL1005" hidden="1">[1]D!$C$181:$N$181</definedName>
    <definedName name="__123Graph_BL1006" hidden="1">[1]D!$C$187:$N$187</definedName>
    <definedName name="__123Graph_BL460" hidden="1">[1]D!$C$193:$N$193</definedName>
    <definedName name="__123Graph_BL750" hidden="1">[1]D!$C$199:$N$199</definedName>
    <definedName name="__123Graph_BMIN34" hidden="1">[1]D!$C$72:$N$72</definedName>
    <definedName name="__123Graph_BMINE1" hidden="1">[1]D!$C$8:$N$8</definedName>
    <definedName name="__123Graph_BMING2" hidden="1">[1]D!$C$66:$N$66</definedName>
    <definedName name="__123Graph_BS245A" hidden="1">[1]D!$C$117:$N$117</definedName>
    <definedName name="__123Graph_BS245B" hidden="1">[1]D!$C$123:$N$123</definedName>
    <definedName name="__123Graph_BS245C" hidden="1">[1]D!$C$129:$N$129</definedName>
    <definedName name="__123Graph_BS245D" hidden="1">[1]D!$C$135:$N$135</definedName>
    <definedName name="__123Graph_BS550" hidden="1">[1]D!$C$171:$N$171</definedName>
    <definedName name="__123Graph_BS625A" hidden="1">[1]D!$C$141:$N$141</definedName>
    <definedName name="__123Graph_BS625B" hidden="1">[1]D!$C$147:$N$147</definedName>
    <definedName name="__123Graph_BS625C" hidden="1">[1]D!$C$153:$N$153</definedName>
    <definedName name="__123Graph_BS750A" hidden="1">[1]D!$C$165:$N$165</definedName>
    <definedName name="__123Graph_BSFX56A" hidden="1">[1]D!$C$83:$N$83</definedName>
    <definedName name="__123Graph_BSFX56B" hidden="1">[1]D!$C$89:$N$89</definedName>
    <definedName name="__123Graph_BSFX56C" hidden="1">[1]D!$C$95:$N$95</definedName>
    <definedName name="__123Graph_BSFX56D" hidden="1">[1]D!$C$101:$N$101</definedName>
    <definedName name="__123Graph_BSFX56E" hidden="1">[1]D!$C$107:$N$107</definedName>
    <definedName name="__123Graph_BTOTLF" hidden="1">[1]D!$C$235:$N$235</definedName>
    <definedName name="__123Graph_BTOTMIN" hidden="1">[1]D!$C$78:$N$78</definedName>
    <definedName name="__123Graph_BTOTSF" hidden="1">[1]D!$C$177:$N$177</definedName>
    <definedName name="__123Graph_BTSALT" hidden="1">[1]D!$C$239:$N$239</definedName>
    <definedName name="_39__123Graph_CCHART_1" hidden="1">'[5]Cntmrs-Recruit'!$F$22:$Q$22</definedName>
    <definedName name="_40__123Graph_CCHART_10" hidden="1">[1]D!$C$222:$N$222</definedName>
    <definedName name="_41__123Graph_CCHART_11" hidden="1">[1]D!$C$204:$N$204</definedName>
    <definedName name="_42__123Graph_CCHART_12" hidden="1">[1]D!$C$7:$N$7</definedName>
    <definedName name="_43__123Graph_CCHART_13" hidden="1">[1]D!$C$31:$N$31</definedName>
    <definedName name="_44__123Graph_CCHART_14" hidden="1">[1]D!$C$54:$N$54</definedName>
    <definedName name="_45__123Graph_CCHART_15" hidden="1">[2]A!$J$138:$U$138</definedName>
    <definedName name="_46__123Graph_CCHART_16" hidden="1">[1]D!$C$112:$N$112</definedName>
    <definedName name="_47__123Graph_CCHART_17" hidden="1">[2]A!$J$130:$U$130</definedName>
    <definedName name="_48__123Graph_CCHART_19" hidden="1">[2]A!$J$152:$U$152</definedName>
    <definedName name="_49__123Graph_CChart_1A" hidden="1">[3]Cntmrs!$B$22:$M$22</definedName>
    <definedName name="_50__123Graph_CCHART_2" hidden="1">[6]A!$L$4:$L$15</definedName>
    <definedName name="_51__123Graph_CCHART_3" hidden="1">[1]D!$C$19:$N$19</definedName>
    <definedName name="_52__123Graph_CCHART_4" hidden="1">[1]D!$C$59:$N$59</definedName>
    <definedName name="_53__123Graph_CCHART_5" hidden="1">[1]D!$C$25:$N$25</definedName>
    <definedName name="_54__123Graph_CCHART_6" hidden="1">[1]D!$C$36:$N$36</definedName>
    <definedName name="_55__123Graph_CCHART_7" hidden="1">[1]D!$C$42:$N$42</definedName>
    <definedName name="_56__123Graph_CCHART_8" hidden="1">[1]D!$C$48:$N$48</definedName>
    <definedName name="_57__123Graph_CCHART_9" hidden="1">[1]D!$C$210:$N$210</definedName>
    <definedName name="__123Graph_CL1005" hidden="1">[1]D!$C$180:$N$180</definedName>
    <definedName name="__123Graph_CL1006" hidden="1">[1]D!$C$186:$N$186</definedName>
    <definedName name="__123Graph_CL460" hidden="1">[1]D!$C$192:$N$192</definedName>
    <definedName name="__123Graph_CL750" hidden="1">[1]D!$C$198:$N$198</definedName>
    <definedName name="__123Graph_CMIN34" hidden="1">[1]D!$C$71:$N$71</definedName>
    <definedName name="__123Graph_CMING2" hidden="1">[1]D!$C$65:$N$65</definedName>
    <definedName name="__123Graph_CS245A" hidden="1">[1]D!$C$116:$N$116</definedName>
    <definedName name="__123Graph_CS245B" hidden="1">[1]D!$C$122:$N$122</definedName>
    <definedName name="__123Graph_CS245C" hidden="1">[1]D!$C$128:$N$128</definedName>
    <definedName name="__123Graph_CS245D" hidden="1">[1]D!$C$134:$N$134</definedName>
    <definedName name="__123Graph_CS550" hidden="1">[1]D!$C$170:$N$170</definedName>
    <definedName name="__123Graph_CS625A" hidden="1">[1]D!$C$140:$N$140</definedName>
    <definedName name="__123Graph_CS625B" hidden="1">[1]D!$C$146:$N$146</definedName>
    <definedName name="__123Graph_CS625C" hidden="1">[1]D!$C$152:$N$152</definedName>
    <definedName name="__123Graph_CS750A" hidden="1">[1]D!$C$164:$N$164</definedName>
    <definedName name="__123Graph_CSFX56A" hidden="1">[1]D!$C$82:$N$82</definedName>
    <definedName name="__123Graph_CSFX56B" hidden="1">[1]D!$C$88:$N$88</definedName>
    <definedName name="__123Graph_CSFX56C" hidden="1">[1]D!$C$94:$N$94</definedName>
    <definedName name="__123Graph_CSFX56D" hidden="1">[1]D!$C$100:$N$100</definedName>
    <definedName name="__123Graph_CSFX56E" hidden="1">[1]D!$C$106:$N$106</definedName>
    <definedName name="__123Graph_CTOTSF" hidden="1">[1]D!$C$176:$N$176</definedName>
    <definedName name="__123Graph_CTSALT" hidden="1">[1]D!$C$238:$N$238</definedName>
    <definedName name="_58__123Graph_LBL_ACHART_1" hidden="1">[7]DATA!$B$4:$B$15</definedName>
    <definedName name="_59__123Graph_LBL_ACHART_2" hidden="1">[7]DATA!$F$2:$F$10</definedName>
    <definedName name="_60__123Graph_LBL_BCHART_1" hidden="1">[7]DATA!$C$4:$C$16</definedName>
    <definedName name="_61__123Graph_LBL_ECHART_1" hidden="1">[8]A!$B$90:$H$90</definedName>
    <definedName name="__123Graph_X" hidden="1">[1]D!$C$5:$N$5</definedName>
    <definedName name="_62__123Graph_XCHART_1" hidden="1">[2]A!$J$4:$U$4</definedName>
    <definedName name="_63__123Graph_XCHART_10" hidden="1">[2]A!$J$4:$U$4</definedName>
    <definedName name="_64__123Graph_XCHART_11" hidden="1">[1]D!$C$5:$N$5</definedName>
    <definedName name="_65__123Graph_XCHART_12" hidden="1">[1]D!$C$5:$N$5</definedName>
    <definedName name="_66__123Graph_XCHART_13" hidden="1">[1]D!$C$5:$N$5</definedName>
    <definedName name="_67__123Graph_XCHART_14" hidden="1">[1]D!$C$5:$N$5</definedName>
    <definedName name="_68__123Graph_XCHART_15" hidden="1">[2]A!$J$4:$U$4</definedName>
    <definedName name="_69__123Graph_XCHART_16" hidden="1">[1]D!$C$5:$N$5</definedName>
    <definedName name="_70__123Graph_XCHART_17" hidden="1">[2]A!$J$4:$U$4</definedName>
    <definedName name="_71__123Graph_XCHART_19" hidden="1">[2]A!$J$4:$U$4</definedName>
    <definedName name="_72__123Graph_XChart_1A" hidden="1">[3]Cntmrs!$B$19:$M$19</definedName>
    <definedName name="_73__123Graph_XCHART_2" hidden="1">[2]A!$J$4:$U$4</definedName>
    <definedName name="_74__123Graph_XChart_2A" hidden="1">[3]Cntmrs!$P$19:$S$19</definedName>
    <definedName name="_75__123Graph_XCHART_3" hidden="1">[1]D!$C$5:$N$5</definedName>
    <definedName name="_76__123Graph_XCHART_4" hidden="1">[2]A!$L$4:$U$4</definedName>
    <definedName name="_77__123Graph_XCHART_5" hidden="1">[2]A!$J$4:$U$4</definedName>
    <definedName name="_78__123Graph_XCHART_6" hidden="1">[1]D!$C$5:$N$5</definedName>
    <definedName name="_79__123Graph_XCHART_7" hidden="1">[1]D!$C$5:$N$5</definedName>
    <definedName name="_80__123Graph_XCHART_8" hidden="1">[1]D!$C$5:$N$5</definedName>
    <definedName name="_81__123Graph_XCHART_9" hidden="1">[1]D!$C$5:$N$5</definedName>
    <definedName name="__123Graph_XL1005" hidden="1">[1]D!$C$5:$N$5</definedName>
    <definedName name="__123Graph_XL1006" hidden="1">[1]D!$C$5:$N$5</definedName>
    <definedName name="__123Graph_XL460" hidden="1">[1]D!$C$5:$N$5</definedName>
    <definedName name="__123Graph_XL750" hidden="1">[1]D!$C$5:$N$5</definedName>
    <definedName name="__123Graph_XMIN34" hidden="1">[1]D!$C$5:$N$5</definedName>
    <definedName name="__123Graph_XMINE1" hidden="1">[1]D!$C$5:$N$5</definedName>
    <definedName name="__123Graph_XMING2" hidden="1">[1]D!$C$5:$N$5</definedName>
    <definedName name="__123Graph_XS245A" hidden="1">[1]D!$C$5:$N$5</definedName>
    <definedName name="__123Graph_XS245B" hidden="1">[1]D!$C$5:$N$5</definedName>
    <definedName name="__123Graph_XS245C" hidden="1">[1]D!$C$5:$N$5</definedName>
    <definedName name="__123Graph_XS245D" hidden="1">[1]D!$C$5:$N$5</definedName>
    <definedName name="__123Graph_XS550" hidden="1">[1]D!$C$5:$N$5</definedName>
    <definedName name="__123Graph_XS625A" hidden="1">[1]D!$C$5:$N$5</definedName>
    <definedName name="__123Graph_XS625B" hidden="1">[1]D!$C$5:$N$5</definedName>
    <definedName name="__123Graph_XS625C" hidden="1">[1]D!$C$5:$N$5</definedName>
    <definedName name="__123Graph_XS750A" hidden="1">[1]D!$C$5:$N$5</definedName>
    <definedName name="__123Graph_XSFX56A" hidden="1">[1]D!$C$5:$N$5</definedName>
    <definedName name="__123Graph_XSFX56B" hidden="1">[1]D!$C$5:$N$5</definedName>
    <definedName name="__123Graph_XSFX56C" hidden="1">[1]D!$C$5:$N$5</definedName>
    <definedName name="__123Graph_XSFX56D" hidden="1">[1]D!$C$5:$N$5</definedName>
    <definedName name="__123Graph_XSFX56E" hidden="1">[1]D!$C$5:$N$5</definedName>
    <definedName name="__123Graph_XTOTLF" hidden="1">[1]D!$C$5:$N$5</definedName>
    <definedName name="__123Graph_XTOTMIN" hidden="1">[1]D!$C$5:$N$5</definedName>
    <definedName name="__123Graph_XTOTSF" hidden="1">[1]D!$C$5:$N$5</definedName>
    <definedName name="__123Graph_XTSALT" hidden="1">[1]D!$C$5:$N$5</definedName>
    <definedName name="_123" hidden="1">[9]A!$J$24:$U$24</definedName>
    <definedName name="_2" hidden="1">#REF!</definedName>
    <definedName name="_Fill" hidden="1">#REF!</definedName>
    <definedName name="_xlnm._FilterDatabase" localSheetId="0" hidden="1">失效模式分析!$A$7:$S$178</definedName>
    <definedName name="_Key1" hidden="1">#REF!</definedName>
    <definedName name="_Order1" hidden="1">255</definedName>
    <definedName name="_Order2" hidden="1">0</definedName>
    <definedName name="_sga" hidden="1">#REF!</definedName>
    <definedName name="_Sort" hidden="1">#REF!</definedName>
    <definedName name="_Table1_In1" hidden="1">#REF!</definedName>
    <definedName name="_Table1_Out" hidden="1">#REF!</definedName>
    <definedName name="a" hidden="1">[14]IncidentsEAP!$P$20:$S$20</definedName>
    <definedName name="aa" hidden="1">'[5]Cntmrs-Recruit'!$F$20:$Q$20</definedName>
    <definedName name="ääää" hidden="1">{"'Sample Status'!$A$1:$J$21"}</definedName>
    <definedName name="aaaaa" hidden="1">{"'Sample Status'!$A$1:$J$21"}</definedName>
    <definedName name="addgggrrrrr5" hidden="1">[15]A!$J$131:$U$131</definedName>
    <definedName name="agfgtg" hidden="1">[15]A!$J$4:$U$4</definedName>
    <definedName name="b" hidden="1">'[16]Matrix-Level 3-Gastonia'!$I$63</definedName>
    <definedName name="bbbb" hidden="1">{"'Sample Status'!$A$1:$J$21"}</definedName>
    <definedName name="bbbbbbbb" hidden="1">[15]A!$J$145:$U$145</definedName>
    <definedName name="bbbbbbbbbbbbbbb" hidden="1">[17]A!$J$4:$U$4</definedName>
    <definedName name="bbrh55" hidden="1">[15]A!$J$4:$U$4</definedName>
    <definedName name="BCHART" hidden="1">'[18]Cntmrs-Recruit'!$F$20:$Q$20</definedName>
    <definedName name="bdfgthjy7" hidden="1">[15]A!$J$4:$U$4</definedName>
    <definedName name="bdgghdgg5" hidden="1">[15]A!$J$4:$U$4</definedName>
    <definedName name="Beowulf" hidden="1">[19]A!$J$4:$U$4</definedName>
    <definedName name="bfgb5g5e" hidden="1">[9]A!$J$144:$U$144</definedName>
    <definedName name="bgfbf5" hidden="1">[15]A!$J$130:$U$130</definedName>
    <definedName name="bggdhrth655" hidden="1">[20]A!$J$17:$U$17</definedName>
    <definedName name="bghnmh" hidden="1">[15]A!$J$152:$U$152</definedName>
    <definedName name="cc" hidden="1">[21]D!$C$203:$N$203</definedName>
    <definedName name="ccccc6" hidden="1">[15]A!$J$7:$U$7</definedName>
    <definedName name="cfvrsr" hidden="1">[15]A!$J$4:$U$4</definedName>
    <definedName name="col">#REF!</definedName>
    <definedName name="copqcm3lpd" hidden="1">#REF!</definedName>
    <definedName name="csdffg45" hidden="1">[15]A!$J$4:$U$4</definedName>
    <definedName name="Currency1_SEK">[22]MarketSumm!$B$69</definedName>
    <definedName name="Currency2_SEK">[22]MarketSumm!$B$71</definedName>
    <definedName name="ddddddd" hidden="1">[17]A!$J$144:$U$144</definedName>
    <definedName name="ddddddddddddd" hidden="1">[15]A!$J$138:$U$138</definedName>
    <definedName name="dddddddddddddd" hidden="1">[17]A!$J$4:$U$4</definedName>
    <definedName name="df" hidden="1">'[16]Matrix-Level 3-Gastonia'!$I$63:$U$69</definedName>
    <definedName name="dfggggg54" hidden="1">[20]A!$J$24:$U$24</definedName>
    <definedName name="_dfr4" hidden="1">[15]A!$J$4:$U$4</definedName>
    <definedName name="dfsdfe" hidden="1">[15]A!$J$6:$U$6</definedName>
    <definedName name="dfsdfsdf" hidden="1">[15]A!$J$144:$U$144</definedName>
    <definedName name="dfserfgt4" hidden="1">[15]A!$J$204:$U$204</definedName>
    <definedName name="dfsfdgsgf4" hidden="1">[20]A!$L$4:$U$4</definedName>
    <definedName name="dgdsfge5" hidden="1">[15]A!$L$4:$U$4</definedName>
    <definedName name="dgfgdfhg5" hidden="1">[15]A!$J$153:$U$153</definedName>
    <definedName name="dhngntt" hidden="1">[15]A!$J$204:$U$204</definedName>
    <definedName name="dsaffeesf34" hidden="1">[20]A!$J$4:$U$4</definedName>
    <definedName name="dsfgdfhgter43" hidden="1">[15]A!$J$138:$U$138</definedName>
    <definedName name="dsfsf4w" hidden="1">[15]A!$L$4:$U$4</definedName>
    <definedName name="dsfsgfdg54" hidden="1">[15]A!$J$138:$U$138</definedName>
    <definedName name="dsfsrga54" hidden="1">[15]A!$J$24:$U$24</definedName>
    <definedName name="dsra4wrt4" hidden="1">[15]A!$J$131:$U$131</definedName>
    <definedName name="eeeeeee" hidden="1">[17]A!$J$6:$U$6</definedName>
    <definedName name="eeeeeeeee" hidden="1">[17]A!$J$7:$U$7</definedName>
    <definedName name="er45gg" hidden="1">[15]A!$J$204:$U$204</definedName>
    <definedName name="EUR_SEK">[22]MarketSumm!$B$65</definedName>
    <definedName name="fbgbbbb4" hidden="1">[20]A!$J$139:$U$139</definedName>
    <definedName name="fbgjkkk" hidden="1">[15]A!$L$128:$U$128</definedName>
    <definedName name="fdsfgfhgdht" hidden="1">[15]A!$L$25:$U$25</definedName>
    <definedName name="feffdfbgbd" hidden="1">[15]A!$J$130:$U$130</definedName>
    <definedName name="ffghnbbb5" hidden="1">[20]A!$J$145:$U$145</definedName>
    <definedName name="fgbtrt5" hidden="1">[15]A!$J$152:$U$152</definedName>
    <definedName name="fgbvbgfs4" hidden="1">[9]A!$J$144:$U$144</definedName>
    <definedName name="fgdfg5" hidden="1">[15]A!$J$4:$U$4</definedName>
    <definedName name="fgdfghtrh5" hidden="1">[15]A!$J$4:$U$4</definedName>
    <definedName name="fgdfgrdfg45" hidden="1">[15]A!$L$4:$U$4</definedName>
    <definedName name="fgdhnnbb5" hidden="1">[20]A!$L$128:$U$128</definedName>
    <definedName name="fgfagdfg54" hidden="1">[15]A!$J$4:$U$4</definedName>
    <definedName name="fgfdgdfh54" hidden="1">[15]A!$J$4:$U$4</definedName>
    <definedName name="fgfdggghhhh" hidden="1">[20]A!$J$153:$U$153</definedName>
    <definedName name="fgfdgtg4" hidden="1">[15]A!$J$4:$U$4</definedName>
    <definedName name="fgfgfg4" hidden="1">[15]A!$J$152:$U$152</definedName>
    <definedName name="fgfgrg554" hidden="1">[20]A!$J$152:$U$152</definedName>
    <definedName name="fgfhgfjhj7" hidden="1">[20]A!$J$4:$U$4</definedName>
    <definedName name="fghggger" hidden="1">[15]A!$J$17:$U$17</definedName>
    <definedName name="fghgh6" hidden="1">[20]A!$J$4:$U$4</definedName>
    <definedName name="fgrdtgdt" hidden="1">[15]A!$J$17:$U$17</definedName>
    <definedName name="fgrertet" hidden="1">[15]A!$J$139:$U$139</definedName>
    <definedName name="fgsrete4" hidden="1">[15]A!$J$4:$U$4</definedName>
    <definedName name="Fin_CounterGraphJuly02" hidden="1">'[5]Cntmrs-Recruit'!$F$21:$Q$21</definedName>
    <definedName name="fsgfgd45" hidden="1">[15]A!$J$130:$U$130</definedName>
    <definedName name="fsvfsvree4" hidden="1">[15]A!$L$128:$U$128</definedName>
    <definedName name="gdfg" hidden="1">[15]A!$J$144:$U$144</definedName>
    <definedName name="gdfg5e4" hidden="1">[15]A!$J$4:$U$4</definedName>
    <definedName name="gdfgdfg4" hidden="1">[9]A!$J$144:$U$144</definedName>
    <definedName name="gethjkkii" hidden="1">[15]A!$L$25:$U$25</definedName>
    <definedName name="gfdbbbbb54" hidden="1">[20]A!$J$4:$U$4</definedName>
    <definedName name="gffghht5" hidden="1">[20]A!$J$131:$U$131</definedName>
    <definedName name="gfgdfgklo9" hidden="1">[15]A!$J$139:$U$139</definedName>
    <definedName name="gfgdh5" hidden="1">[15]A!$J$4:$U$4</definedName>
    <definedName name="gfgdhgh5" hidden="1">[15]A!$J$139:$U$139</definedName>
    <definedName name="gfgdrgre45" hidden="1">[20]A!$L$25:$U$25</definedName>
    <definedName name="gfgfgtgh5" hidden="1">[20]A!$J$138:$U$138</definedName>
    <definedName name="gfsdfgsfgdfg4" hidden="1">[15]A!$J$145:$U$145</definedName>
    <definedName name="gfsf4t43trtn" hidden="1">[20]A!$J$7:$U$7</definedName>
    <definedName name="gggggggg" hidden="1">[17]A!$J$204:$U$204</definedName>
    <definedName name="gggggggggggggg" hidden="1">[17]A!$J$4:$U$4</definedName>
    <definedName name="ggggggggggggggg" hidden="1">[17]A!$J$4:$U$4</definedName>
    <definedName name="gghhjy56" hidden="1">[20]A!$J$204:$U$204</definedName>
    <definedName name="ghfghtr" hidden="1">[15]A!$J$6:$U$6</definedName>
    <definedName name="gjjj656" hidden="1">[15]A!$J$4:$U$4</definedName>
    <definedName name="hfgjfhutu" hidden="1">[15]A!$J$24:$U$24</definedName>
    <definedName name="hgfhhjukyljk7" hidden="1">[20]A!$J$4:$U$4</definedName>
    <definedName name="hghffhftdh2" hidden="1">[20]A!$J$4:$U$4</definedName>
    <definedName name="hhhhh6" hidden="1">[15]A!$J$24:$U$24</definedName>
    <definedName name="hhhhhhhhh" hidden="1">[17]A!$J$145:$U$145</definedName>
    <definedName name="hsrtggaxgdaf" hidden="1">[15]A!$J$145:$U$145</definedName>
    <definedName name="hthjhjhf" hidden="1">[15]A!$L$25:$U$25</definedName>
    <definedName name="HTM" hidden="1">{"'Sample Status'!$A$1:$J$21"}</definedName>
    <definedName name="HTML" hidden="1">{"'Sample Status'!$A$1:$J$21"}</definedName>
    <definedName name="HTML_CodePage" hidden="1">1252</definedName>
    <definedName name="HTML_Control" hidden="1">{"'Sample Status'!$A$1:$J$21"}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Title" hidden="1">"sampstat525"</definedName>
    <definedName name="html2" hidden="1">{"'Sample Status'!$A$1:$J$21"}</definedName>
    <definedName name="htmll2" hidden="1">{"'Sample Status'!$A$1:$J$21"}</definedName>
    <definedName name="IDCCM" hidden="1">#REF!</definedName>
    <definedName name="iiiiiiiiiiii" hidden="1">[17]A!$J$131:$U$131</definedName>
    <definedName name="jhjuiufgd" hidden="1">[15]A!$J$131:$U$131</definedName>
    <definedName name="jjjjjjj7" hidden="1">[15]A!$J$4:$U$4</definedName>
    <definedName name="jjjjjjjjj" hidden="1">[17]A!$J$24:$U$24</definedName>
    <definedName name="jjklkjgkfgj87" hidden="1">[20]A!$J$4:$U$4</definedName>
    <definedName name="kghjff" hidden="1">[15]A!$J$144:$U$144</definedName>
    <definedName name="lgm" hidden="1">{"'Sample Status'!$A$1:$J$21"}</definedName>
    <definedName name="llllllllllllllllll" hidden="1">[17]A!$J$130:$U$130</definedName>
    <definedName name="mm" hidden="1">{"'Sample Status'!$A$1:$J$21"}</definedName>
    <definedName name="mmmm" hidden="1">'[24]Cntmrs-Recruit'!$F$22:$Q$22</definedName>
    <definedName name="mmmmkkl9" hidden="1">[15]A!$L$128:$U$128</definedName>
    <definedName name="nbcrrr" hidden="1">[15]A!$J$4:$U$4</definedName>
    <definedName name="new" hidden="1">#N/A</definedName>
    <definedName name="_new2" hidden="1">'[5]Cntmrs-Recruit'!$R$20:$T$20</definedName>
    <definedName name="nfhnhj7" hidden="1">[15]A!$J$4:$U$4</definedName>
    <definedName name="nhfdh6" hidden="1">[15]A!$J$4:$U$4</definedName>
    <definedName name="nnn" hidden="1">'[24]Cntmrs-Recruit'!$F$20:$Q$20</definedName>
    <definedName name="nnnnnn6" hidden="1">[20]A!$J$130:$U$130</definedName>
    <definedName name="nnnnnnnnnnnnnnn" hidden="1">[17]A!$J$4:$U$4</definedName>
    <definedName name="Pam" hidden="1">[25]A!$J$153:$U$153</definedName>
    <definedName name="_Pam10" hidden="1">[25]A!$J$4:$U$4</definedName>
    <definedName name="_Pam11" hidden="1">[25]A!$J$4:$U$4</definedName>
    <definedName name="_Pam12" hidden="1">[25]A!$J$4:$U$4</definedName>
    <definedName name="_Pam13" hidden="1">[25]A!$L$4:$U$4</definedName>
    <definedName name="_Pam14" hidden="1">[25]A!$J$4:$U$4</definedName>
    <definedName name="_Pam2" hidden="1">[25]A!$J$7:$U$7</definedName>
    <definedName name="_Pam3" hidden="1">[25]A!$L$128:$U$128</definedName>
    <definedName name="_Pam4" hidden="1">[25]A!$J$138:$U$138</definedName>
    <definedName name="_Pam5" hidden="1">[25]A!$J$130:$U$130</definedName>
    <definedName name="_Pam6" hidden="1">[25]A!$J$152:$U$152</definedName>
    <definedName name="_Pam7" hidden="1">[25]A!$J$4:$U$4</definedName>
    <definedName name="_Pam8" hidden="1">[25]A!$J$4:$U$4</definedName>
    <definedName name="_Pam9" hidden="1">[25]A!$J$4:$U$4</definedName>
    <definedName name="pcbagraph" hidden="1">[19]A!$J$144:$U$144</definedName>
    <definedName name="_xlnm.Print_Area" localSheetId="0">失效模式分析!$B$1:$U$30</definedName>
    <definedName name="_xlnm.Print_Area" hidden="1">#REF!</definedName>
    <definedName name="_xlnm.Print_Titles" localSheetId="0">失效模式分析!$7:$8</definedName>
    <definedName name="qrfwrw443" hidden="1">[20]A!$J$6:$U$6</definedName>
    <definedName name="qxö" hidden="1">[25]A!$J$138:$U$138</definedName>
    <definedName name="rghgdbrtr" hidden="1">[15]A!$J$6:$U$6</definedName>
    <definedName name="rrrrrrrrr" hidden="1">[17]A!$L$25:$U$25</definedName>
    <definedName name="rrrrrrrrrrrrrr" hidden="1">[17]A!$J$153:$U$153</definedName>
    <definedName name="sadfgsfga4" hidden="1">[15]A!$J$7:$U$7</definedName>
    <definedName name="sdfgsgdsh54" hidden="1">[15]A!$J$4:$U$4</definedName>
    <definedName name="sdfwefewfse" hidden="1">[15]A!$J$17:$U$17</definedName>
    <definedName name="sean" hidden="1">{"'Sample Status'!$A$1:$J$21"}</definedName>
    <definedName name="SEK_Currency1">[22]MarketSumm!$B$70</definedName>
    <definedName name="SEK_Currency2">[22]MarketSumm!$B$72</definedName>
    <definedName name="SEK_EUR">[22]MarketSumm!$B$66</definedName>
    <definedName name="SEK_USD">[22]MarketSumm!$B$64</definedName>
    <definedName name="SEK_Yen">[22]MarketSumm!$B$68</definedName>
    <definedName name="SORT">#REF!</definedName>
    <definedName name="sss" hidden="1">{"'Sample Status'!$A$1:$J$21"}</definedName>
    <definedName name="sssssss" hidden="1">[17]A!$J$17:$U$17</definedName>
    <definedName name="t" hidden="1">[21]A!$J$17:$U$17</definedName>
    <definedName name="ttttttttttt" hidden="1">[17]A!$J$4:$U$4</definedName>
    <definedName name="Unity">[22]MarketSumm!$B$62</definedName>
    <definedName name="USD_SEK">[22]MarketSumm!$B$63</definedName>
    <definedName name="uuuuuuuuu" hidden="1">[17]A!$J$139:$U$139</definedName>
    <definedName name="uuuuuuuuuuuuuuu" hidden="1">[17]A!$J$4:$U$4</definedName>
    <definedName name="vdfgwfwef" hidden="1">[15]A!$J$7:$U$7</definedName>
    <definedName name="vdfvrfrw3" hidden="1">[20]A!$J$144:$U$144</definedName>
    <definedName name="vfdfrgr" hidden="1">[15]A!$J$153:$U$153</definedName>
    <definedName name="VI" hidden="1">[25]A!$J$4:$U$4</definedName>
    <definedName name="vvvv4" hidden="1">[15]A!$J$153:$U$153</definedName>
    <definedName name="vvvvvvvvvvv" hidden="1">[17]A!$J$138:$U$138</definedName>
    <definedName name="win" hidden="1">{"'Sample Status'!$A$1:$J$21"}</definedName>
    <definedName name="wwwwwwwwwww" hidden="1">[17]A!$L$128:$U$128</definedName>
    <definedName name="x" hidden="1">'[27]Matrix-Level 3-Gastonia'!$I$59</definedName>
    <definedName name="xx" hidden="1">[21]A!$J$144:$U$144</definedName>
    <definedName name="xxxx" hidden="1">[21]D!$C$6:$N$6</definedName>
    <definedName name="ydf" hidden="1">[25]A!$J$4:$U$4</definedName>
    <definedName name="Yen_SEK">[22]MarketSumm!$B$67</definedName>
    <definedName name="yyyyyyyyyyyyy" hidden="1">[17]A!$L$4:$U$4</definedName>
    <definedName name="zzzzzzzzzzzzzzz" hidden="1">[17]A!$J$152:$U$152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7" l="1"/>
  <c r="H9" i="17"/>
  <c r="P9" i="17"/>
  <c r="Q9" i="17"/>
  <c r="S9" i="17"/>
  <c r="N10" i="17"/>
  <c r="H10" i="17"/>
  <c r="P10" i="17"/>
  <c r="Q10" i="17"/>
  <c r="S10" i="17"/>
  <c r="N11" i="17"/>
  <c r="H11" i="17"/>
  <c r="P11" i="17"/>
  <c r="Q11" i="17"/>
  <c r="S11" i="17"/>
  <c r="N12" i="17"/>
  <c r="H12" i="17"/>
  <c r="N13" i="17"/>
  <c r="H13" i="17"/>
  <c r="N14" i="17"/>
  <c r="H14" i="17"/>
  <c r="H15" i="17"/>
  <c r="N15" i="17"/>
  <c r="H16" i="17"/>
  <c r="N16" i="17"/>
  <c r="N17" i="17"/>
  <c r="H17" i="17"/>
  <c r="N18" i="17"/>
  <c r="H18" i="17"/>
  <c r="P18" i="17"/>
  <c r="Q18" i="17"/>
  <c r="S18" i="17"/>
  <c r="N19" i="17"/>
  <c r="H19" i="17"/>
  <c r="S19" i="17"/>
  <c r="N20" i="17"/>
  <c r="H20" i="17"/>
  <c r="N21" i="17"/>
  <c r="H2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00329</author>
    <author>Ola.Ro</author>
    <author>Conie</author>
    <author>Jeppe Strömbeck</author>
    <author>03355</author>
  </authors>
  <commentList>
    <comment ref="E7" authorId="0" shapeId="0" xr:uid="{484A20B7-8681-448A-B34C-8B486E51161F}">
      <text>
        <r>
          <rPr>
            <sz val="9"/>
            <rFont val="宋体"/>
            <family val="3"/>
            <charset val="134"/>
          </rPr>
          <t>00329:
主要写物理原因，区别于客户看到的现象</t>
        </r>
      </text>
    </comment>
    <comment ref="F7" authorId="0" shapeId="0" xr:uid="{4F0FFE4E-FDBA-41CA-BAC3-CB7D9F27DF0F}">
      <text>
        <r>
          <rPr>
            <sz val="9"/>
            <rFont val="宋体"/>
            <family val="3"/>
            <charset val="134"/>
          </rPr>
          <t>00329:
主要描述使用者可看到的现象</t>
        </r>
      </text>
    </comment>
    <comment ref="G7" authorId="1" shapeId="0" xr:uid="{8959B1C5-0FF4-4360-974C-606D11849C30}">
      <text>
        <r>
          <rPr>
            <sz val="9"/>
            <rFont val="宋体"/>
            <family val="3"/>
            <charset val="134"/>
          </rPr>
          <t xml:space="preserve">Ranking 1 to 10.
See "Severity" tab.
</t>
        </r>
      </text>
    </comment>
    <comment ref="H7" authorId="2" shapeId="0" xr:uid="{05B1C09F-0095-4C71-84B1-08D5951AC3C9}">
      <text>
        <r>
          <rPr>
            <sz val="9"/>
            <rFont val="宋体"/>
            <family val="3"/>
            <charset val="134"/>
          </rPr>
          <t>A: RPN&gt;180
C: RPN&lt;45
B:ELSE</t>
        </r>
      </text>
    </comment>
    <comment ref="J7" authorId="1" shapeId="0" xr:uid="{7CF050C5-2EE6-4B8E-8579-F60635A77397}">
      <text>
        <r>
          <rPr>
            <sz val="9"/>
            <rFont val="宋体"/>
            <family val="3"/>
            <charset val="134"/>
          </rPr>
          <t xml:space="preserve">Ranking 1 to 10.
See "Occurrence" tab.
</t>
        </r>
      </text>
    </comment>
    <comment ref="M7" authorId="1" shapeId="0" xr:uid="{184CD033-6F7B-4D7C-8964-EB6591499373}">
      <text>
        <r>
          <rPr>
            <sz val="9"/>
            <rFont val="宋体"/>
            <family val="3"/>
            <charset val="134"/>
          </rPr>
          <t xml:space="preserve">Ranking 1 to 10.
See "Design Detection" tab.
</t>
        </r>
      </text>
    </comment>
    <comment ref="N7" authorId="3" shapeId="0" xr:uid="{68BFCC35-DB83-4BEC-A3A4-ACB9AABC9A68}">
      <text>
        <r>
          <rPr>
            <sz val="9"/>
            <rFont val="宋体"/>
            <family val="3"/>
            <charset val="134"/>
          </rPr>
          <t>Risk Priority Number =
Product of "Severity", "Occur" &amp; "Detect*.
RPN is used for determining priorities. High values indicate areas where measures should primarily be focused.</t>
        </r>
      </text>
    </comment>
    <comment ref="K8" authorId="1" shapeId="0" xr:uid="{38508BAE-9D8F-4EA4-AC0D-1F36BDB71F3C}">
      <text>
        <r>
          <rPr>
            <sz val="9"/>
            <rFont val="宋体"/>
            <family val="3"/>
            <charset val="134"/>
          </rPr>
          <t>What is done to reduce the occurence of the failure or prevent it from happening</t>
        </r>
      </text>
    </comment>
    <comment ref="L8" authorId="1" shapeId="0" xr:uid="{F8249B8A-2439-432C-93C1-6DE7B4D338E4}">
      <text>
        <r>
          <rPr>
            <sz val="9"/>
            <rFont val="宋体"/>
            <family val="3"/>
            <charset val="134"/>
          </rPr>
          <t>What is done to detect if the failure occurs</t>
        </r>
      </text>
    </comment>
    <comment ref="U25" authorId="4" shapeId="0" xr:uid="{6F50440C-954D-4536-8366-5B395F572830}">
      <text>
        <r>
          <rPr>
            <sz val="9"/>
            <rFont val="宋体"/>
            <family val="3"/>
            <charset val="134"/>
          </rPr>
          <t>03355:
review 时间与最后一次输出BOM的时间一致，与输出清单一的时间一致</t>
        </r>
      </text>
    </comment>
  </commentList>
</comments>
</file>

<file path=xl/sharedStrings.xml><?xml version="1.0" encoding="utf-8"?>
<sst xmlns="http://schemas.openxmlformats.org/spreadsheetml/2006/main" count="154" uniqueCount="114">
  <si>
    <t xml:space="preserve">                           潜在失效模式及后果分析</t>
  </si>
  <si>
    <r>
      <t xml:space="preserve">                                                                                         (</t>
    </r>
    <r>
      <rPr>
        <b/>
        <sz val="10"/>
        <rFont val="宋体"/>
        <family val="3"/>
        <charset val="134"/>
      </rPr>
      <t>设计</t>
    </r>
    <r>
      <rPr>
        <b/>
        <sz val="10"/>
        <rFont val="Times New Roman"/>
        <family val="1"/>
      </rPr>
      <t>FMEA)</t>
    </r>
  </si>
  <si>
    <t>分类：</t>
  </si>
  <si>
    <t>机芯类</t>
  </si>
  <si>
    <r>
      <t>FMEA</t>
    </r>
    <r>
      <rPr>
        <sz val="10"/>
        <rFont val="宋体"/>
        <family val="3"/>
        <charset val="134"/>
      </rPr>
      <t>编号：</t>
    </r>
  </si>
  <si>
    <t>PT9L-EDFM01</t>
  </si>
  <si>
    <t>产品型号：</t>
  </si>
  <si>
    <t>PT9L</t>
  </si>
  <si>
    <t>编制：</t>
  </si>
  <si>
    <r>
      <t>FMEA</t>
    </r>
    <r>
      <rPr>
        <sz val="10"/>
        <rFont val="宋体"/>
        <family val="3"/>
        <charset val="134"/>
      </rPr>
      <t>版本：</t>
    </r>
  </si>
  <si>
    <t>V1.0</t>
  </si>
  <si>
    <r>
      <t>FMEA</t>
    </r>
    <r>
      <rPr>
        <sz val="10"/>
        <rFont val="宋体"/>
        <family val="3"/>
        <charset val="134"/>
      </rPr>
      <t>小组：</t>
    </r>
  </si>
  <si>
    <t xml:space="preserve">（硬件工程师、硬件主管、软件工程师、软件主管、结构工程师、结构主管） </t>
  </si>
  <si>
    <t>审核：</t>
  </si>
  <si>
    <t>项目</t>
  </si>
  <si>
    <t>功能</t>
  </si>
  <si>
    <t>潜在失效模式</t>
  </si>
  <si>
    <t>潜在失效结果分析</t>
  </si>
  <si>
    <r>
      <t>严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重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Times New Roman"/>
        <family val="1"/>
      </rPr>
      <t xml:space="preserve">
(S)</t>
    </r>
  </si>
  <si>
    <r>
      <t>分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类</t>
    </r>
  </si>
  <si>
    <r>
      <t>失效机制</t>
    </r>
    <r>
      <rPr>
        <b/>
        <sz val="12"/>
        <rFont val="Times New Roman"/>
        <family val="1"/>
      </rPr>
      <t>/</t>
    </r>
    <r>
      <rPr>
        <b/>
        <sz val="12"/>
        <rFont val="宋体"/>
        <family val="3"/>
        <charset val="134"/>
      </rPr>
      <t>原因</t>
    </r>
  </si>
  <si>
    <r>
      <t>频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Times New Roman"/>
        <family val="1"/>
      </rPr>
      <t xml:space="preserve">
(O)</t>
    </r>
  </si>
  <si>
    <t>现行控制</t>
  </si>
  <si>
    <r>
      <t>探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测</t>
    </r>
    <r>
      <rPr>
        <b/>
        <sz val="12"/>
        <rFont val="Times New Roman"/>
        <family val="1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Times New Roman"/>
        <family val="1"/>
      </rPr>
      <t xml:space="preserve">
(D)</t>
    </r>
  </si>
  <si>
    <t>R.P.N.</t>
  </si>
  <si>
    <t>拟采取措施</t>
  </si>
  <si>
    <t>措施执行结果</t>
  </si>
  <si>
    <t>措施是否执行</t>
  </si>
  <si>
    <t>检查结果</t>
  </si>
  <si>
    <t>预防</t>
  </si>
  <si>
    <t>探测</t>
  </si>
  <si>
    <t>温度传感器</t>
  </si>
  <si>
    <t>传感器</t>
  </si>
  <si>
    <t>将温度信号转换为电阻值</t>
  </si>
  <si>
    <t>电阻值错误</t>
  </si>
  <si>
    <t>温度值测量不准确</t>
  </si>
  <si>
    <t>没有进行标定或标定错误</t>
  </si>
  <si>
    <t>温度测量准确性实验</t>
  </si>
  <si>
    <t>组装和整机进行温度检测</t>
  </si>
  <si>
    <t>检查产品检验标准的温度检测项目</t>
  </si>
  <si>
    <t>□</t>
  </si>
  <si>
    <t>传感器损坏</t>
  </si>
  <si>
    <t>AD采样电路</t>
  </si>
  <si>
    <t>将电阻值转换为电压信号</t>
  </si>
  <si>
    <t>无电压信号</t>
  </si>
  <si>
    <t>不能正常测量</t>
  </si>
  <si>
    <t>电阻断路</t>
  </si>
  <si>
    <t>LCD</t>
  </si>
  <si>
    <t>LCD屏幕</t>
  </si>
  <si>
    <t>显示测量值</t>
  </si>
  <si>
    <t>无显示或显示错误</t>
  </si>
  <si>
    <r>
      <t>使用者得不到或得到错误的温度值</t>
    </r>
    <r>
      <rPr>
        <sz val="10"/>
        <rFont val="Times New Roman"/>
        <family val="1"/>
      </rPr>
      <t xml:space="preserve"> </t>
    </r>
  </si>
  <si>
    <t>LCD损坏</t>
  </si>
  <si>
    <t>功能检验</t>
  </si>
  <si>
    <t>无需采取措施</t>
  </si>
  <si>
    <t>LCD驱动</t>
  </si>
  <si>
    <t>驱动LCD显示</t>
  </si>
  <si>
    <t>芯片管脚连接异常</t>
  </si>
  <si>
    <t>无显示或显示不全</t>
  </si>
  <si>
    <t>芯片不良</t>
  </si>
  <si>
    <t>系统供电</t>
  </si>
  <si>
    <t>电源电路</t>
  </si>
  <si>
    <t>为MCU、LCD、背光供电</t>
  </si>
  <si>
    <t>供电不足</t>
  </si>
  <si>
    <r>
      <t>MCU</t>
    </r>
    <r>
      <rPr>
        <sz val="10"/>
        <rFont val="宋体"/>
        <family val="3"/>
        <charset val="134"/>
      </rPr>
      <t>等被供电器件无法正常工作</t>
    </r>
  </si>
  <si>
    <t>错误的负载计算</t>
  </si>
  <si>
    <t>贴片不良</t>
  </si>
  <si>
    <t>电路短路</t>
  </si>
  <si>
    <t>电容短路</t>
  </si>
  <si>
    <t>MCU</t>
  </si>
  <si>
    <t>MCU配置</t>
  </si>
  <si>
    <t>MCU运行失常</t>
  </si>
  <si>
    <t>电阻或电容断路</t>
  </si>
  <si>
    <t>按键电路</t>
  </si>
  <si>
    <r>
      <t>执行</t>
    </r>
    <r>
      <rPr>
        <sz val="10"/>
        <rFont val="Times New Roman"/>
        <family val="1"/>
      </rPr>
      <t>I/O</t>
    </r>
    <r>
      <rPr>
        <sz val="10"/>
        <rFont val="宋体"/>
        <family val="3"/>
        <charset val="134"/>
      </rPr>
      <t>读取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按键</t>
    </r>
    <r>
      <rPr>
        <sz val="10"/>
        <rFont val="Times New Roman"/>
        <family val="1"/>
      </rPr>
      <t>)</t>
    </r>
  </si>
  <si>
    <t>无按键信号</t>
  </si>
  <si>
    <t>开机键失效导致无法开机不能正常测量温度</t>
  </si>
  <si>
    <t>按键寿命选择有误而出现机械损坏或电阻断路</t>
  </si>
  <si>
    <t>开关机功能检验</t>
  </si>
  <si>
    <t>检查产品检验标准的开关机检验项目</t>
  </si>
  <si>
    <t>低电检测电路</t>
  </si>
  <si>
    <r>
      <t>执行</t>
    </r>
    <r>
      <rPr>
        <sz val="10"/>
        <rFont val="Times New Roman"/>
        <family val="1"/>
      </rPr>
      <t>I/O</t>
    </r>
    <r>
      <rPr>
        <sz val="10"/>
        <rFont val="宋体"/>
        <family val="3"/>
        <charset val="134"/>
      </rPr>
      <t>读取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低电压检测</t>
    </r>
    <r>
      <rPr>
        <sz val="10"/>
        <rFont val="Times New Roman"/>
        <family val="1"/>
      </rPr>
      <t>)</t>
    </r>
  </si>
  <si>
    <t>在到达低电压时未报警</t>
  </si>
  <si>
    <t>不满足法规要求</t>
  </si>
  <si>
    <t>低电提示功能检测</t>
  </si>
  <si>
    <t>检查产品检验标准的低电提示功能检测项目</t>
  </si>
  <si>
    <t>蜂鸣器</t>
  </si>
  <si>
    <t>蜂鸣器连接电路</t>
  </si>
  <si>
    <t>提示音</t>
  </si>
  <si>
    <t>蜂鸣提示信号不正确</t>
  </si>
  <si>
    <t>无提示音</t>
  </si>
  <si>
    <t>MCU贴片不良</t>
  </si>
  <si>
    <t>PCB</t>
  </si>
  <si>
    <t>电气连接</t>
  </si>
  <si>
    <t>PCB损坏</t>
  </si>
  <si>
    <t>线路焊盘短路</t>
  </si>
  <si>
    <t>FMEA小组成员</t>
  </si>
  <si>
    <t>成员</t>
  </si>
  <si>
    <t>姓名</t>
  </si>
  <si>
    <t>签名</t>
  </si>
  <si>
    <t>日期</t>
  </si>
  <si>
    <t>措施是否执行的检查结果</t>
  </si>
  <si>
    <t>硬件工程师</t>
  </si>
  <si>
    <t>万龙</t>
  </si>
  <si>
    <t>检查人员签名</t>
  </si>
  <si>
    <t>硬件主管</t>
  </si>
  <si>
    <t>侯广伟</t>
  </si>
  <si>
    <t>审核人员签名</t>
  </si>
  <si>
    <t>软件工程师</t>
  </si>
  <si>
    <t>王迪</t>
  </si>
  <si>
    <t>软件主管</t>
  </si>
  <si>
    <t>结构工程师</t>
  </si>
  <si>
    <t>刘钊</t>
  </si>
  <si>
    <t>结构主管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</si>
</sst>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76" formatCode="_(* #,##0.00_);_(* \(#,##0.00\);_(* &quot;-&quot;??_);_(@_)"/>
    <numFmt numFmtId="177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&quot;Market Segment &quot;0"/>
    <numFmt numFmtId="181" formatCode="#,##0;[Red]&quot;(&quot;#,##0&quot;)&quot;"/>
    <numFmt numFmtId="182" formatCode="_-* #,##0.00\ _F_-;\-* #,##0.00\ _F_-;_-* &quot;-&quot;??\ _F_-;_-@_-"/>
    <numFmt numFmtId="183" formatCode="#,##0.00&quot; DM&quot;;[Red]&quot;(&quot;#,##0.00&quot;) DM&quot;"/>
    <numFmt numFmtId="184" formatCode="#,##0&quot; DM&quot;;[Red]&quot;(&quot;#,##0&quot;) DM&quot;"/>
    <numFmt numFmtId="185" formatCode="#,##0.00_ ;[Red]\-#,##0.00;\-"/>
    <numFmt numFmtId="186" formatCode="\d\.\ mm\ \y\y"/>
    <numFmt numFmtId="187" formatCode="mm&quot;/&quot;\y\y"/>
    <numFmt numFmtId="188" formatCode="_-* #,##0\ _D_M_-;\-* #,##0\ _D_M_-;_-* &quot;-&quot;\ _D_M_-;_-@_-"/>
    <numFmt numFmtId="189" formatCode="_-* #,##0.00\ _D_M_-;\-* #,##0.00\ _D_M_-;_-* &quot;-&quot;??\ _D_M_-;_-@_-"/>
    <numFmt numFmtId="190" formatCode="#,##0.00;[Red]&quot;(&quot;#,##0.00&quot;)&quot;"/>
    <numFmt numFmtId="191" formatCode="_([$€-2]* #,##0.00_);_([$€-2]* \(#,##0.00\);_([$€-2]* &quot;-&quot;??_)"/>
    <numFmt numFmtId="192" formatCode="_-* #,##0\ _F_-;\-* #,##0\ _F_-;_-* &quot;-&quot;\ _F_-;_-@_-"/>
    <numFmt numFmtId="193" formatCode="_-* #,##0.00\ &quot;F&quot;_-;\-* #,##0.00\ &quot;F&quot;_-;_-* &quot;-&quot;??\ &quot;F&quot;_-;_-@_-"/>
    <numFmt numFmtId="194" formatCode="_-* #,##0\ &quot;F&quot;_-;\-* #,##0\ &quot;F&quot;_-;_-* &quot;-&quot;\ &quot;F&quot;_-;_-@_-"/>
    <numFmt numFmtId="195" formatCode="0.00_)"/>
    <numFmt numFmtId="196" formatCode="_-* #,##0\ &quot;DM&quot;_-;\-* #,##0\ &quot;DM&quot;_-;_-* &quot;-&quot;\ &quot;DM&quot;_-;_-@_-"/>
    <numFmt numFmtId="197" formatCode="_-* #,##0.00\ &quot;DM&quot;_-;\-* #,##0.00\ &quot;DM&quot;_-;_-* &quot;-&quot;??\ &quot;DM&quot;_-;_-@_-"/>
    <numFmt numFmtId="198" formatCode="\$#,##0\ ;\(\$#,##0\)"/>
    <numFmt numFmtId="199" formatCode="dd/mmm/yy"/>
  </numFmts>
  <fonts count="42" x14ac:knownFonts="1">
    <font>
      <sz val="10"/>
      <name val="Arial"/>
      <family val="2"/>
    </font>
    <font>
      <sz val="10"/>
      <name val="Times New Roman"/>
      <family val="1"/>
    </font>
    <font>
      <sz val="20"/>
      <name val="Arial"/>
      <family val="2"/>
    </font>
    <font>
      <b/>
      <sz val="16"/>
      <name val="宋体"/>
      <family val="3"/>
      <charset val="134"/>
    </font>
    <font>
      <b/>
      <sz val="16"/>
      <name val="Times New Roman"/>
      <family val="1"/>
    </font>
    <font>
      <b/>
      <sz val="10"/>
      <name val="Times New Roman"/>
      <family val="1"/>
    </font>
    <font>
      <sz val="10"/>
      <name val="宋体"/>
      <family val="3"/>
      <charset val="134"/>
    </font>
    <font>
      <i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22"/>
      <name val="Times New Roman"/>
      <family val="1"/>
    </font>
    <font>
      <sz val="14"/>
      <color indexed="8"/>
      <name val="宋体"/>
      <family val="3"/>
      <charset val="134"/>
    </font>
    <font>
      <sz val="14"/>
      <name val="宋体"/>
      <family val="3"/>
      <charset val="134"/>
    </font>
    <font>
      <sz val="14"/>
      <color indexed="8"/>
      <name val="Arial"/>
      <family val="2"/>
    </font>
    <font>
      <sz val="22"/>
      <name val="宋体"/>
      <family val="3"/>
      <charset val="134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10"/>
      <color indexed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color indexed="24"/>
      <name val="Arial"/>
      <family val="2"/>
    </font>
    <font>
      <b/>
      <sz val="9"/>
      <name val="Arial"/>
      <family val="2"/>
    </font>
    <font>
      <b/>
      <sz val="10"/>
      <color indexed="9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b/>
      <sz val="18"/>
      <color indexed="24"/>
      <name val="Arial"/>
      <family val="2"/>
    </font>
    <font>
      <b/>
      <i/>
      <sz val="9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9"/>
      <name val="Arial"/>
      <family val="2"/>
    </font>
    <font>
      <sz val="10"/>
      <name val="Helv"/>
      <family val="2"/>
    </font>
    <font>
      <sz val="12"/>
      <name val="Helv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66">
    <xf numFmtId="0" fontId="0" fillId="0" borderId="0"/>
    <xf numFmtId="0" fontId="41" fillId="2" borderId="0"/>
    <xf numFmtId="0" fontId="22" fillId="2" borderId="0"/>
    <xf numFmtId="0" fontId="21" fillId="2" borderId="0"/>
    <xf numFmtId="0" fontId="27" fillId="2" borderId="0"/>
    <xf numFmtId="0" fontId="29" fillId="2" borderId="0"/>
    <xf numFmtId="0" fontId="24" fillId="2" borderId="0"/>
    <xf numFmtId="0" fontId="30" fillId="2" borderId="0"/>
    <xf numFmtId="185" fontId="41" fillId="3" borderId="1"/>
    <xf numFmtId="0" fontId="21" fillId="3" borderId="0"/>
    <xf numFmtId="0" fontId="41" fillId="2" borderId="0"/>
    <xf numFmtId="0" fontId="22" fillId="2" borderId="0"/>
    <xf numFmtId="0" fontId="21" fillId="2" borderId="0"/>
    <xf numFmtId="0" fontId="41" fillId="2" borderId="0"/>
    <xf numFmtId="0" fontId="29" fillId="2" borderId="0"/>
    <xf numFmtId="0" fontId="24" fillId="2" borderId="0"/>
    <xf numFmtId="0" fontId="30" fillId="2" borderId="0"/>
    <xf numFmtId="0" fontId="26" fillId="2" borderId="2" applyBorder="0">
      <alignment horizontal="centerContinuous"/>
    </xf>
    <xf numFmtId="0" fontId="31" fillId="5" borderId="0">
      <alignment horizontal="centerContinuous"/>
    </xf>
    <xf numFmtId="0" fontId="26" fillId="6" borderId="2" applyBorder="0"/>
    <xf numFmtId="0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91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0" fontId="41" fillId="0" borderId="3" applyNumberFormat="0" applyFont="0" applyFill="0" applyAlignment="0" applyProtection="0"/>
    <xf numFmtId="0" fontId="30" fillId="2" borderId="0" applyNumberFormat="0" applyBorder="0" applyAlignment="0" applyProtection="0"/>
    <xf numFmtId="0" fontId="32" fillId="0" borderId="4" applyNumberFormat="0" applyAlignment="0" applyProtection="0">
      <alignment horizontal="left" vertical="center"/>
    </xf>
    <xf numFmtId="0" fontId="32" fillId="0" borderId="5">
      <alignment horizontal="left" vertical="center"/>
    </xf>
    <xf numFmtId="0" fontId="30" fillId="3" borderId="6" applyNumberFormat="0" applyBorder="0" applyAlignment="0" applyProtection="0"/>
    <xf numFmtId="3" fontId="41" fillId="0" borderId="0" applyFont="0" applyFill="0" applyBorder="0" applyAlignment="0" applyProtection="0"/>
    <xf numFmtId="180" fontId="20" fillId="2" borderId="7">
      <alignment horizontal="left"/>
    </xf>
    <xf numFmtId="0" fontId="26" fillId="7" borderId="0"/>
    <xf numFmtId="176" fontId="41" fillId="0" borderId="0" applyFont="0" applyFill="0" applyBorder="0" applyAlignment="0" applyProtection="0"/>
    <xf numFmtId="192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94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5" fontId="33" fillId="0" borderId="0"/>
    <xf numFmtId="38" fontId="34" fillId="6" borderId="0">
      <alignment horizontal="right"/>
    </xf>
    <xf numFmtId="17" fontId="35" fillId="4" borderId="0">
      <alignment horizontal="center"/>
    </xf>
    <xf numFmtId="0" fontId="25" fillId="5" borderId="0"/>
    <xf numFmtId="0" fontId="22" fillId="6" borderId="0" applyBorder="0">
      <alignment horizontal="centerContinuous"/>
    </xf>
    <xf numFmtId="0" fontId="36" fillId="5" borderId="0" applyBorder="0">
      <alignment horizontal="centerContinuous"/>
    </xf>
    <xf numFmtId="1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0" fontId="30" fillId="0" borderId="0"/>
    <xf numFmtId="0" fontId="37" fillId="0" borderId="0"/>
    <xf numFmtId="0" fontId="38" fillId="0" borderId="0"/>
    <xf numFmtId="0" fontId="41" fillId="0" borderId="0"/>
    <xf numFmtId="196" fontId="41" fillId="0" borderId="0" applyFont="0" applyFill="0" applyBorder="0" applyAlignment="0" applyProtection="0"/>
    <xf numFmtId="197" fontId="41" fillId="0" borderId="0" applyFont="0" applyFill="0" applyBorder="0" applyAlignment="0" applyProtection="0"/>
    <xf numFmtId="198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/>
    <xf numFmtId="0" fontId="2" fillId="0" borderId="0" xfId="0" applyFont="1"/>
    <xf numFmtId="0" fontId="0" fillId="0" borderId="0" xfId="0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Alignment="1">
      <alignment horizontal="left" vertical="center"/>
    </xf>
    <xf numFmtId="0" fontId="1" fillId="0" borderId="0" xfId="0" applyFont="1" applyFill="1" applyBorder="1" applyAlignment="1" applyProtection="1">
      <alignment horizontal="right"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0" fontId="6" fillId="0" borderId="6" xfId="0" applyNumberFormat="1" applyFont="1" applyFill="1" applyBorder="1" applyAlignment="1" applyProtection="1">
      <alignment horizontal="left"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/>
      <protection locked="0"/>
    </xf>
    <xf numFmtId="0" fontId="1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left" vertical="center"/>
    </xf>
    <xf numFmtId="0" fontId="6" fillId="0" borderId="6" xfId="0" applyNumberFormat="1" applyFont="1" applyFill="1" applyBorder="1" applyAlignment="1">
      <alignment horizontal="left" vertical="center" wrapText="1"/>
    </xf>
    <xf numFmtId="0" fontId="6" fillId="0" borderId="6" xfId="0" applyNumberFormat="1" applyFont="1" applyFill="1" applyBorder="1" applyAlignment="1" applyProtection="1">
      <alignment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0" applyNumberFormat="1" applyFont="1" applyFill="1" applyBorder="1" applyAlignment="1" applyProtection="1">
      <alignment vertical="center" wrapText="1"/>
      <protection locked="0"/>
    </xf>
    <xf numFmtId="0" fontId="6" fillId="0" borderId="8" xfId="0" applyFont="1" applyFill="1" applyBorder="1" applyAlignment="1" applyProtection="1">
      <alignment horizontal="center" vertical="center" wrapText="1"/>
      <protection locked="0"/>
    </xf>
    <xf numFmtId="0" fontId="6" fillId="8" borderId="6" xfId="0" applyFont="1" applyFill="1" applyBorder="1" applyAlignment="1" applyProtection="1">
      <alignment horizontal="left" vertical="center" wrapText="1"/>
      <protection locked="0"/>
    </xf>
    <xf numFmtId="0" fontId="6" fillId="8" borderId="6" xfId="0" applyFont="1" applyFill="1" applyBorder="1" applyAlignment="1" applyProtection="1">
      <alignment vertical="center" wrapText="1"/>
      <protection locked="0"/>
    </xf>
    <xf numFmtId="0" fontId="1" fillId="8" borderId="6" xfId="0" applyFont="1" applyFill="1" applyBorder="1" applyAlignment="1" applyProtection="1">
      <alignment horizontal="center" vertical="center" wrapText="1"/>
      <protection locked="0"/>
    </xf>
    <xf numFmtId="0" fontId="1" fillId="8" borderId="6" xfId="0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</xf>
    <xf numFmtId="0" fontId="11" fillId="0" borderId="24" xfId="0" applyNumberFormat="1" applyFont="1" applyBorder="1" applyAlignment="1">
      <alignment vertical="center" wrapText="1"/>
    </xf>
    <xf numFmtId="0" fontId="11" fillId="0" borderId="25" xfId="0" applyNumberFormat="1" applyFont="1" applyBorder="1" applyAlignment="1">
      <alignment horizontal="center" vertical="center" wrapText="1"/>
    </xf>
    <xf numFmtId="0" fontId="11" fillId="0" borderId="26" xfId="0" applyNumberFormat="1" applyFont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27" xfId="0" applyNumberFormat="1" applyFont="1" applyBorder="1" applyAlignment="1">
      <alignment vertical="center"/>
    </xf>
    <xf numFmtId="0" fontId="11" fillId="0" borderId="28" xfId="0" applyNumberFormat="1" applyFont="1" applyBorder="1" applyAlignment="1">
      <alignment horizontal="center" vertical="center" wrapText="1"/>
    </xf>
    <xf numFmtId="0" fontId="13" fillId="0" borderId="28" xfId="0" applyNumberFormat="1" applyFont="1" applyBorder="1" applyAlignment="1">
      <alignment horizontal="center" vertical="center" wrapText="1"/>
    </xf>
    <xf numFmtId="0" fontId="11" fillId="0" borderId="29" xfId="0" applyNumberFormat="1" applyFont="1" applyBorder="1" applyAlignment="1">
      <alignment vertical="center" wrapText="1"/>
    </xf>
    <xf numFmtId="0" fontId="12" fillId="0" borderId="30" xfId="0" applyNumberFormat="1" applyFont="1" applyBorder="1" applyAlignment="1">
      <alignment vertical="center"/>
    </xf>
    <xf numFmtId="0" fontId="1" fillId="0" borderId="3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32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/>
    <xf numFmtId="0" fontId="9" fillId="0" borderId="6" xfId="0" applyNumberFormat="1" applyFont="1" applyFill="1" applyBorder="1" applyAlignment="1" applyProtection="1">
      <alignment horizontal="center" vertical="center" textRotation="180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6" xfId="0" applyNumberFormat="1" applyFont="1" applyFill="1" applyBorder="1" applyAlignment="1">
      <alignment horizontal="center" vertical="center" wrapText="1"/>
    </xf>
    <xf numFmtId="0" fontId="1" fillId="8" borderId="9" xfId="0" applyFont="1" applyFill="1" applyBorder="1" applyAlignment="1" applyProtection="1">
      <alignment horizontal="center" vertical="center" wrapText="1"/>
      <protection locked="0"/>
    </xf>
    <xf numFmtId="0" fontId="6" fillId="8" borderId="6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vertical="center" wrapText="1"/>
      <protection locked="0"/>
    </xf>
    <xf numFmtId="0" fontId="2" fillId="0" borderId="10" xfId="0" applyNumberFormat="1" applyFont="1" applyFill="1" applyBorder="1" applyAlignment="1">
      <alignment horizontal="left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0" fillId="0" borderId="9" xfId="0" applyNumberFormat="1" applyFont="1" applyFill="1" applyBorder="1" applyAlignment="1">
      <alignment horizontal="left"/>
    </xf>
    <xf numFmtId="0" fontId="0" fillId="0" borderId="11" xfId="0" applyNumberFormat="1" applyFont="1" applyFill="1" applyBorder="1" applyAlignment="1">
      <alignment horizontal="left"/>
    </xf>
    <xf numFmtId="0" fontId="0" fillId="0" borderId="10" xfId="0" applyNumberFormat="1" applyFont="1" applyFill="1" applyBorder="1" applyAlignment="1">
      <alignment horizontal="left"/>
    </xf>
    <xf numFmtId="0" fontId="5" fillId="8" borderId="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left"/>
    </xf>
    <xf numFmtId="0" fontId="0" fillId="8" borderId="11" xfId="0" applyFont="1" applyFill="1" applyBorder="1" applyAlignment="1">
      <alignment horizontal="left"/>
    </xf>
    <xf numFmtId="0" fontId="5" fillId="0" borderId="0" xfId="0" applyFont="1" applyFill="1" applyBorder="1" applyAlignment="1" applyProtection="1">
      <alignment horizontal="center" vertical="center"/>
    </xf>
    <xf numFmtId="0" fontId="14" fillId="0" borderId="0" xfId="0" applyFont="1" applyFill="1"/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</xf>
    <xf numFmtId="0" fontId="12" fillId="0" borderId="12" xfId="0" applyNumberFormat="1" applyFont="1" applyFill="1" applyBorder="1" applyAlignment="1">
      <alignment vertical="center"/>
    </xf>
    <xf numFmtId="0" fontId="12" fillId="0" borderId="13" xfId="0" applyNumberFormat="1" applyFont="1" applyFill="1" applyBorder="1" applyAlignment="1">
      <alignment vertical="center"/>
    </xf>
    <xf numFmtId="0" fontId="1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12" fillId="0" borderId="14" xfId="0" applyNumberFormat="1" applyFont="1" applyFill="1" applyBorder="1" applyAlignment="1">
      <alignment vertical="center"/>
    </xf>
    <xf numFmtId="0" fontId="0" fillId="0" borderId="15" xfId="0" applyNumberFormat="1" applyFont="1" applyFill="1" applyBorder="1"/>
    <xf numFmtId="0" fontId="0" fillId="0" borderId="0" xfId="0" applyNumberFormat="1" applyFont="1" applyFill="1" applyBorder="1"/>
    <xf numFmtId="0" fontId="17" fillId="0" borderId="0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Fill="1" applyBorder="1" applyAlignment="1" applyProtection="1">
      <alignment vertical="center" wrapText="1"/>
      <protection locked="0"/>
    </xf>
    <xf numFmtId="0" fontId="1" fillId="0" borderId="0" xfId="65" applyFont="1" applyFill="1" applyBorder="1" applyAlignment="1" applyProtection="1">
      <alignment horizontal="left" vertical="center" wrapText="1"/>
      <protection locked="0"/>
    </xf>
    <xf numFmtId="0" fontId="18" fillId="0" borderId="0" xfId="65" applyFont="1" applyFill="1" applyBorder="1" applyAlignment="1" applyProtection="1">
      <alignment horizontal="left" vertical="center" wrapText="1"/>
      <protection locked="0"/>
    </xf>
    <xf numFmtId="14" fontId="1" fillId="0" borderId="0" xfId="65" applyNumberFormat="1" applyFont="1" applyFill="1" applyBorder="1" applyAlignment="1" applyProtection="1">
      <alignment vertical="center" wrapText="1"/>
      <protection locked="0"/>
    </xf>
    <xf numFmtId="14" fontId="1" fillId="0" borderId="0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8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6" xfId="0" applyNumberFormat="1" applyFont="1" applyFill="1" applyBorder="1" applyAlignment="1" applyProtection="1">
      <alignment horizontal="center" vertical="center" textRotation="180"/>
      <protection locked="0"/>
    </xf>
    <xf numFmtId="0" fontId="9" fillId="0" borderId="6" xfId="0" applyNumberFormat="1" applyFont="1" applyFill="1" applyBorder="1" applyAlignment="1" applyProtection="1">
      <alignment horizontal="center" vertical="center" textRotation="180"/>
      <protection locked="0"/>
    </xf>
    <xf numFmtId="0" fontId="9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199" fontId="1" fillId="0" borderId="0" xfId="0" applyNumberFormat="1" applyFont="1" applyFill="1" applyBorder="1" applyAlignment="1" applyProtection="1">
      <alignment horizontal="left" vertical="center"/>
      <protection locked="0"/>
    </xf>
    <xf numFmtId="0" fontId="9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6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left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</cellXfs>
  <cellStyles count="66">
    <cellStyle name="_Column1" xfId="1" xr:uid="{566595C0-FA43-4792-B923-B7B4059679F2}"/>
    <cellStyle name="_Column2" xfId="2" xr:uid="{566648B3-48C8-4CD9-A0A1-479A84D94462}"/>
    <cellStyle name="_Column3" xfId="3" xr:uid="{27162421-260E-41BA-A2C4-E8506BC0A089}"/>
    <cellStyle name="_Column4" xfId="4" xr:uid="{FFE95BA6-CBF4-486A-BE10-7106AEA4F311}"/>
    <cellStyle name="_Column5" xfId="5" xr:uid="{DD267AEA-C878-445F-B0B8-DBA144E4AE99}"/>
    <cellStyle name="_Column6" xfId="6" xr:uid="{0D96D497-9DC5-4232-8F25-DE0EF5440517}"/>
    <cellStyle name="_Column7" xfId="7" xr:uid="{3995416C-4211-4F54-97F8-E18C13F0E0CA}"/>
    <cellStyle name="_Data" xfId="8" xr:uid="{3B64D69B-8285-44C2-AED4-6609F0B92524}"/>
    <cellStyle name="_Header" xfId="9" xr:uid="{B0696B40-BB23-4CA7-969A-F3F39E59E788}"/>
    <cellStyle name="_Row1" xfId="10" xr:uid="{06B384B7-1209-4556-BF90-0241A11992FB}"/>
    <cellStyle name="_Row2" xfId="11" xr:uid="{B9E18BB8-8205-44D0-83DC-5D6CA3FE76BD}"/>
    <cellStyle name="_Row3" xfId="12" xr:uid="{6DEAB9FE-4343-447E-90B0-7E2BC02B85D2}"/>
    <cellStyle name="_Row4" xfId="13" xr:uid="{803E1D0B-780A-40EC-870D-1E94E6B59973}"/>
    <cellStyle name="_Row5" xfId="14" xr:uid="{797C9275-CD03-419D-913B-5FECF68B2F21}"/>
    <cellStyle name="_Row6" xfId="15" xr:uid="{5BCCE5FA-E43F-405B-BFAF-109BB961ADC3}"/>
    <cellStyle name="_Row7" xfId="16" xr:uid="{5EC3EB3F-DCD8-4539-9277-F5EF656E3F28}"/>
    <cellStyle name="Chart Title" xfId="17" xr:uid="{A2AD48C6-3F95-4D9C-B1BC-D42C91C2EAFD}"/>
    <cellStyle name="Dark Title" xfId="18" xr:uid="{7EA2F709-C0A8-436D-B4F9-3A672BF2D9A8}"/>
    <cellStyle name="Data" xfId="19" xr:uid="{B40552CB-5329-4510-BC49-A4B14262E907}"/>
    <cellStyle name="Datum" xfId="20" xr:uid="{223FCD9B-A39A-44BA-B1D5-6894BD3C6A61}"/>
    <cellStyle name="Datumgroß" xfId="21" xr:uid="{75052C02-E142-4BA6-A860-AB35EF5A8590}"/>
    <cellStyle name="Datumklein" xfId="22" xr:uid="{F3B5A901-F0F1-4B02-A9DB-CC59CA791478}"/>
    <cellStyle name="Dezimal [0]_12" xfId="23" xr:uid="{0C9CA2F6-B403-43B3-94BC-FF7B600C03C2}"/>
    <cellStyle name="Dezimal_12" xfId="24" xr:uid="{1CF7355B-7B3A-4A70-B138-16B31D7F6A0D}"/>
    <cellStyle name="Dezimalgroß" xfId="25" xr:uid="{1C0D1F14-C301-4A3A-9B8C-01215089E2B5}"/>
    <cellStyle name="Dezimalklein" xfId="26" xr:uid="{CF418006-C027-4699-80BA-F67CF66F0898}"/>
    <cellStyle name="Euro" xfId="27" xr:uid="{D6B94EEA-1955-4C76-AB4B-BF716692F6CA}"/>
    <cellStyle name="Fest" xfId="28" xr:uid="{8245ECB0-49D8-478B-8282-31870803B8E1}"/>
    <cellStyle name="Gesamt" xfId="29" xr:uid="{C5916333-382C-4100-B38E-1C0FF2B07C99}"/>
    <cellStyle name="Grey" xfId="30" xr:uid="{2609BEF7-FDCE-40B8-AA2C-100B42062BDA}"/>
    <cellStyle name="Header1" xfId="31" xr:uid="{3CE0BFE4-8A69-4F04-B904-E0D9AA723930}"/>
    <cellStyle name="Header2" xfId="32" xr:uid="{B603F85C-D745-4212-8049-679DBFAFE33A}"/>
    <cellStyle name="Input [yellow]" xfId="33" xr:uid="{FFBE8B8D-EAAE-4B10-90A9-768C189EF862}"/>
    <cellStyle name="Komma0" xfId="34" xr:uid="{E7CC88E8-5DEC-4061-823D-3FEC705F452E}"/>
    <cellStyle name="Market Segment" xfId="35" xr:uid="{3614B616-D576-4299-A740-74EA3D0B1AD6}"/>
    <cellStyle name="Menu Bar" xfId="36" xr:uid="{88ADAA2D-46A3-4E38-8346-7ADFA57275F6}"/>
    <cellStyle name="Millares_CountermeasuresEMEA" xfId="37" xr:uid="{1CB22C4B-D0DD-4FBE-9BFF-795126780B70}"/>
    <cellStyle name="Milliers [0]_2003_Projects_Action_Plan" xfId="38" xr:uid="{DC01656E-1ACC-49F6-BD7B-393299A49A65}"/>
    <cellStyle name="Milliers_2003_Projects_Action_Plan" xfId="39" xr:uid="{4AEE2C1F-5466-4D5F-A555-FD194E4DF237}"/>
    <cellStyle name="Moeda [0]_laroux" xfId="40" xr:uid="{3AD05A35-DDC2-42CB-A19E-DEE5A2755EC8}"/>
    <cellStyle name="Moeda_laroux" xfId="41" xr:uid="{52B0595D-C553-4DDD-B331-9274B048C5DE}"/>
    <cellStyle name="Monétaire [0]_2003_Projects_Action_Plan" xfId="42" xr:uid="{93A7A1DF-AA28-45BB-90AC-40824786BB98}"/>
    <cellStyle name="Monétaire_2003_Projects_Action_Plan" xfId="43" xr:uid="{54FC7C4E-9534-4DDF-8DCF-A43E7C78E54E}"/>
    <cellStyle name="Normal - Style1" xfId="44" xr:uid="{3AD28C90-7D9E-42A9-A24E-F72371EC0C92}"/>
    <cellStyle name="Output Amounts" xfId="45" xr:uid="{6697868A-30E9-47E1-8748-F680DBB81DFB}"/>
    <cellStyle name="Output Column Headings" xfId="46" xr:uid="{30845C38-062F-4F5E-B9B2-DCEF749FB563}"/>
    <cellStyle name="Output Line Items" xfId="47" xr:uid="{BA84BB6C-ED5D-4A83-81EC-D6E5E2737065}"/>
    <cellStyle name="Output Report Heading" xfId="48" xr:uid="{867F4D9C-13E0-439F-AB51-8F25DFBF02A5}"/>
    <cellStyle name="Output Report Title" xfId="49" xr:uid="{5701F0DD-DA43-41C4-8013-15DC5497FFEE}"/>
    <cellStyle name="Percent [2]" xfId="50" xr:uid="{07B9FBC1-4E37-44DF-83AA-911F000457F7}"/>
    <cellStyle name="Prozent_LAGER97" xfId="51" xr:uid="{CD4F1B95-9DDB-4F99-8B7D-AA0111B27E11}"/>
    <cellStyle name="Prozentgroß" xfId="52" xr:uid="{98367736-C9B2-4982-8821-972E4AE14FF8}"/>
    <cellStyle name="Prozentklein" xfId="53" xr:uid="{80716E81-5FF4-4A34-ADCC-E546FCBCEE36}"/>
    <cellStyle name="Standard_Amort.-Rechnung" xfId="54" xr:uid="{E7608190-3BF3-47AF-8131-78D072607501}"/>
    <cellStyle name="Standard10" xfId="55" xr:uid="{55A8C79B-4A22-4540-A614-4C63C0B5D004}"/>
    <cellStyle name="Standard12" xfId="56" xr:uid="{25E86B70-BE11-4461-9BD9-5CDFBC0486D5}"/>
    <cellStyle name="Style 1" xfId="57" xr:uid="{236F9DE8-3FBC-489D-82A0-A7D75E6C747A}"/>
    <cellStyle name="Währung [0]_12" xfId="58" xr:uid="{1BFEB124-01AA-487E-82C8-D7E700B863E1}"/>
    <cellStyle name="Währung_12" xfId="59" xr:uid="{96944168-FAD8-447B-947A-0D6D215CB64F}"/>
    <cellStyle name="Währung0" xfId="60" xr:uid="{F76DEBD1-F549-456C-8307-8BCB8876B132}"/>
    <cellStyle name="Währunggroß" xfId="61" xr:uid="{4CE8005C-B5EB-457F-BFB1-B88FAB2BE4E8}"/>
    <cellStyle name="Währungklein" xfId="62" xr:uid="{1D8DD024-B050-4237-A225-6F71CE435D50}"/>
    <cellStyle name="Zeile 1" xfId="63" xr:uid="{15DE04DA-21E6-478A-8275-7E79CDAB9E07}"/>
    <cellStyle name="Zeile 2" xfId="64" xr:uid="{16857420-3931-4C52-9C55-05CC9574C1AC}"/>
    <cellStyle name="常规" xfId="0" builtinId="0"/>
    <cellStyle name="超链接" xfId="65" builtinId="8"/>
  </cellStyles>
  <dxfs count="10">
    <dxf>
      <fill>
        <patternFill patternType="solid">
          <fgColor indexed="64"/>
          <bgColor indexed="9"/>
        </patternFill>
      </fill>
    </dxf>
    <dxf>
      <font>
        <b/>
        <i val="0"/>
        <condense val="0"/>
        <extend val="0"/>
      </font>
      <fill>
        <patternFill patternType="solid">
          <fgColor indexed="64"/>
          <bgColor indexed="45"/>
        </patternFill>
      </fill>
    </dxf>
    <dxf>
      <font>
        <b/>
        <i val="0"/>
        <condense val="0"/>
        <extend val="0"/>
        <color indexed="9"/>
      </font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Data\LOTUS\PSI\EXCELL\DEC03\psi-DEC-11-17-03%206%25%20DEC%206%25%20J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lmartine\Desktop\MasterBowSht%20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olicy%20Deployment%202001\2001PD-GRUBER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arpley\c\DELTA\pdm2000\dECEMBEr%20SQDC%20Boar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MikeG/Local%20Settings/Temporary%20Internet%20Files/OLK19/TEMP/2000PD-White-NOV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May%20Info\MaySafet\01lwta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wa.danahertool.com/DOCUME~1/dpond/LOCALS~1/Temp/C.Notes.Data/armdel1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Jan%202001%20Info\CHANGEOVER%20CHA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dows\TEMP\MasterBowSht%20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TEMP/2000PD-BURTELSON-Nov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wa.danahertool.com/TMoon/2004/04%20Financials/Budget/DanPP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SHARED\PD%202003\policydeploymentpresentation1003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My%20Documents\23PV\Project\TG%20Workbook_VPT_0709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TEMP/Master%20PD%20Templa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NT\Profiles\lmartine\Desktop\MasterBowSht%20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bstrouse\LOCALS~1\Temp\ncpdju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STASSY\Policy%20Deployment\2003\WINNT\Profiles\lmartine\Desktop\MasterBowSht%20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My%20Documents/PD2001/2000PD-White-NOV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MasterBowSht%20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WINNT\Profiles\lmartine\Desktop\MasterBowSht%2020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cuments%20and%20Settings\george.ellis\My%20Documents\Tas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DHF&#27169;&#26495;2023.8.10&#20043;&#21518;&#29256;&#26412;&#65288;&#39118;&#38505;&#25991;&#20214;&#26242;&#26102;&#19981;&#33021;&#29992;&#65292;&#20854;&#23427;&#37117;&#21487;&#20197;&#29992;&#65289;-&#23385;/05%20DFMEA%20E0%2023.11/My%20Documents/Mal/TGworkbook/TG%20Workbook3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Documents%20and%20Settings\John.Laiacona\Local%20Settings\Temporary%20Internet%20Files\OLK29\1104%20KP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ikeG\Local%20Settings\Temporary%20Internet%20Files\OLK19\TEMP\2000PD-White-NOV0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kumente%20und%20Einstellungen\thomas\Lokale%20Einstellungen\TEMP\MasterBowSht%2020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bblythe/Local%20Settings/Temporary%20Internet%20Files/OLK3/MTM%202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3PolDep\10OCTp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Sheet1"/>
      <sheetName val="Sheet2"/>
      <sheetName val="Sheet3"/>
      <sheetName val="FEB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PPM IND"/>
      <sheetName val="DELIVERY"/>
      <sheetName val="SCRAP"/>
      <sheetName val="SAFETY"/>
      <sheetName val="PRODUCTIVITY"/>
      <sheetName val="Daily Char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500"/>
      <sheetName val="Code 23 Nov"/>
      <sheetName val="Code 23 Dec"/>
      <sheetName val="Sheet1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th Level Matrix"/>
      <sheetName val="PD Bowler"/>
      <sheetName val="pdcountermeasuresheetquickturns"/>
      <sheetName val="actionplanleadtimereduction"/>
      <sheetName val="actionplanMROspend"/>
      <sheetName val="actionplanquick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Hist"/>
      <sheetName val="Notes"/>
      <sheetName val="Justification System"/>
      <sheetName val="Justification 23PV"/>
      <sheetName val="Mrkt&amp;Risk"/>
      <sheetName val="Tracker System"/>
      <sheetName val="Tracker 23PV"/>
      <sheetName val="Appvl"/>
      <sheetName val="EstCAR"/>
      <sheetName val="CheckList System"/>
      <sheetName val="CheckList 23PV"/>
      <sheetName val="Cost"/>
      <sheetName val="KPI"/>
      <sheetName val="Risk Assessment"/>
      <sheetName val="CM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-Responsibility"/>
      <sheetName val="Matrix-Level 3-Gastonia"/>
      <sheetName val="Bowler-Level 3-Gastonia-MI"/>
      <sheetName val="CM Net Cost Productivity"/>
      <sheetName val="CM-MBB-SBW"/>
      <sheetName val="CM-DEL-PTD"/>
      <sheetName val="CM-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s"/>
      <sheetName val="A"/>
      <sheetName val="#REF"/>
      <sheetName val="Sheet6"/>
      <sheetName val="FEB summary"/>
      <sheetName val="IncidentsEAP"/>
      <sheetName val="Cntmrs-Recruit"/>
      <sheetName val="Cntmrs"/>
      <sheetName val="DATA"/>
      <sheetName val="Matrix-Level 3-Gastonia"/>
      <sheetName val="2000"/>
      <sheetName val="D"/>
      <sheetName val="Tasklist"/>
      <sheetName val="Proj Summary-T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 Charter"/>
      <sheetName val="Tracker"/>
      <sheetName val="CheckList"/>
      <sheetName val="MarketSumm"/>
      <sheetName val="Cost"/>
      <sheetName val="KPI"/>
      <sheetName val="Risk Assessment"/>
      <sheetName val="Countermeasures"/>
      <sheetName val="EstCAR"/>
      <sheetName val="Dashboard Data"/>
      <sheetName val="ReadMe"/>
      <sheetName val="Chg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 Bowl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MarketSu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ntmrs-Recruit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Level 1 Matrix"/>
      <sheetName val="Level 1 Bowling"/>
      <sheetName val="E-Commerce Lvl 2 Matrix (1)"/>
      <sheetName val="E-Commerce Lvl 2 Bowling (1)"/>
      <sheetName val="ATG Revenue Lvl 2 Matrix (2)"/>
      <sheetName val="ATG Revenue Lvl 2 Bowling (2)"/>
      <sheetName val="EU Sales Lvl 2A Matrix (3)"/>
      <sheetName val="EU Sales Lvl 2A Bowling (3)"/>
      <sheetName val="L.A. Region Lvl 2B Matrix (4)"/>
      <sheetName val="L.A. Region Lvl 2B Bowling (4)"/>
      <sheetName val="TLS Lvl 2C Matrix (5)"/>
      <sheetName val="TLS Lvl 2C Bowling (5)"/>
      <sheetName val="Non US Non UK Lvl 2D Matrix (5)"/>
      <sheetName val="Non US Non UK 2D Bowling (5)"/>
      <sheetName val="SPDS Lvl 2 Matrix (6)"/>
      <sheetName val="SPDS Lvl 2 Bowling (6)"/>
      <sheetName val="Simplicity Lvl 2 Matrix (7)"/>
      <sheetName val="Simplicity Lvl 2 Bowling (7)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-Gastonia"/>
      <sheetName val="PD-Responsibility"/>
      <sheetName val="Matrix-Level 3-Gastonia"/>
      <sheetName val="Bowler-Level 3-Gastonia-MI"/>
      <sheetName val="AP-1-Savings-KRay"/>
      <sheetName val="CM Net Cost Productivity"/>
      <sheetName val="AP-2-VSM SMED- Kaizens-SW"/>
      <sheetName val="CM-SMEDTPM"/>
      <sheetName val="CM-Crit-Cells"/>
      <sheetName val="AP-3-Project M-MI"/>
      <sheetName val="AP-4-MRO LCR-WANG"/>
      <sheetName val="AP-5-DBS MBB-SBW"/>
      <sheetName val="CM-MBB-SBW"/>
      <sheetName val="AP-6-Fifo-KWL"/>
      <sheetName val="CM-FIFO-VIBE"/>
      <sheetName val="AP-7-NC MMP-POTTS"/>
      <sheetName val="AP-8-Arms-ccw "/>
      <sheetName val="Gastonia-PROJ-KRAY"/>
      <sheetName val="CM-DEL-PTD (2)"/>
      <sheetName val="CM-INV"/>
      <sheetName val="CM-DEL-SMD (2)"/>
      <sheetName val="IDCCM"/>
      <sheetName val="CM-Master"/>
      <sheetName val="Meeting Notes"/>
      <sheetName val="AP-X-Hidden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24F-322A-40FD-9CDE-E1F6586978E2}">
  <dimension ref="A1:U211"/>
  <sheetViews>
    <sheetView tabSelected="1" view="pageLayout" zoomScale="55" zoomScaleNormal="70" zoomScalePageLayoutView="55" workbookViewId="0">
      <selection activeCell="F9" sqref="F9"/>
    </sheetView>
  </sheetViews>
  <sheetFormatPr defaultColWidth="9.1328125" defaultRowHeight="24.75" x14ac:dyDescent="0.65"/>
  <cols>
    <col min="1" max="1" width="4.46484375" style="3" customWidth="1"/>
    <col min="2" max="2" width="15.53125" style="4" customWidth="1"/>
    <col min="3" max="3" width="15.265625" style="4" customWidth="1"/>
    <col min="4" max="4" width="14.796875" style="5" customWidth="1"/>
    <col min="5" max="5" width="20" style="6" customWidth="1"/>
    <col min="6" max="6" width="31.1328125" style="6" customWidth="1"/>
    <col min="7" max="7" width="4.73046875" style="4" customWidth="1"/>
    <col min="8" max="8" width="4.1328125" style="7" customWidth="1"/>
    <col min="9" max="9" width="22" style="6" customWidth="1"/>
    <col min="10" max="10" width="5.46484375" style="4" customWidth="1"/>
    <col min="11" max="11" width="13" style="5" customWidth="1"/>
    <col min="12" max="12" width="18.796875" style="6" customWidth="1"/>
    <col min="13" max="13" width="4.796875" style="4" customWidth="1"/>
    <col min="14" max="14" width="4.265625" style="6" customWidth="1"/>
    <col min="15" max="15" width="31.1328125" style="6" customWidth="1"/>
    <col min="16" max="19" width="5.73046875" style="6" customWidth="1"/>
    <col min="20" max="20" width="32.796875" style="8" customWidth="1"/>
    <col min="21" max="21" width="35" style="9" customWidth="1"/>
  </cols>
  <sheetData>
    <row r="1" spans="1:21" s="1" customFormat="1" x14ac:dyDescent="0.65">
      <c r="A1" s="10"/>
      <c r="B1" s="117" t="s">
        <v>0</v>
      </c>
      <c r="C1" s="117"/>
      <c r="D1" s="118"/>
      <c r="E1" s="119"/>
      <c r="F1" s="119"/>
      <c r="G1" s="119"/>
      <c r="H1" s="119"/>
      <c r="I1" s="120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53"/>
      <c r="U1" s="61"/>
    </row>
    <row r="2" spans="1:21" s="1" customFormat="1" x14ac:dyDescent="0.65">
      <c r="B2" s="121" t="s">
        <v>1</v>
      </c>
      <c r="C2" s="121"/>
      <c r="D2" s="122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53"/>
      <c r="U2" s="61"/>
    </row>
    <row r="3" spans="1:21" s="1" customFormat="1" x14ac:dyDescent="0.65">
      <c r="A3" s="10"/>
      <c r="B3" s="13"/>
      <c r="C3" s="13"/>
      <c r="D3" s="14"/>
      <c r="E3" s="15"/>
      <c r="F3" s="15"/>
      <c r="G3" s="13"/>
      <c r="H3" s="13"/>
      <c r="I3" s="15"/>
      <c r="J3" s="11"/>
      <c r="K3" s="12"/>
      <c r="L3" s="11"/>
      <c r="M3" s="13"/>
      <c r="N3" s="15"/>
      <c r="O3" s="52"/>
      <c r="P3" s="53"/>
      <c r="Q3" s="53"/>
      <c r="R3" s="53"/>
      <c r="S3" s="15"/>
      <c r="T3" s="53"/>
      <c r="U3" s="61"/>
    </row>
    <row r="4" spans="1:21" s="2" customFormat="1" ht="20.100000000000001" customHeight="1" x14ac:dyDescent="0.35">
      <c r="A4" s="10"/>
      <c r="B4" s="16" t="s">
        <v>2</v>
      </c>
      <c r="C4" s="17" t="s">
        <v>3</v>
      </c>
      <c r="D4" s="18"/>
      <c r="E4" s="15"/>
      <c r="G4" s="7"/>
      <c r="H4" s="16"/>
      <c r="I4" s="15"/>
      <c r="J4" s="11"/>
      <c r="K4" s="12"/>
      <c r="L4" s="11"/>
      <c r="M4" s="13"/>
      <c r="N4" s="15"/>
      <c r="O4" s="19" t="s">
        <v>4</v>
      </c>
      <c r="P4" s="15" t="s">
        <v>5</v>
      </c>
      <c r="Q4" s="15"/>
      <c r="R4" s="15"/>
      <c r="S4" s="15"/>
      <c r="T4" s="62"/>
      <c r="U4" s="63"/>
    </row>
    <row r="5" spans="1:21" s="2" customFormat="1" ht="20.100000000000001" customHeight="1" x14ac:dyDescent="0.35">
      <c r="A5" s="10"/>
      <c r="B5" s="16" t="s">
        <v>6</v>
      </c>
      <c r="C5" s="15" t="s">
        <v>7</v>
      </c>
      <c r="D5" s="18"/>
      <c r="E5" s="15"/>
      <c r="G5" s="13"/>
      <c r="H5" s="16" t="s">
        <v>8</v>
      </c>
      <c r="I5" s="15"/>
      <c r="J5" s="13"/>
      <c r="K5" s="14"/>
      <c r="L5" s="15"/>
      <c r="M5" s="13"/>
      <c r="N5" s="15"/>
      <c r="O5" s="19" t="s">
        <v>9</v>
      </c>
      <c r="P5" s="15" t="s">
        <v>10</v>
      </c>
      <c r="Q5" s="15"/>
      <c r="R5" s="15"/>
      <c r="S5" s="15"/>
      <c r="T5" s="62"/>
      <c r="U5" s="63"/>
    </row>
    <row r="6" spans="1:21" s="2" customFormat="1" ht="20.100000000000001" customHeight="1" x14ac:dyDescent="0.35">
      <c r="A6" s="10"/>
      <c r="B6" s="19" t="s">
        <v>11</v>
      </c>
      <c r="C6" s="20" t="s">
        <v>12</v>
      </c>
      <c r="D6" s="18"/>
      <c r="E6" s="15"/>
      <c r="F6" s="15"/>
      <c r="G6" s="13"/>
      <c r="H6" s="16" t="s">
        <v>13</v>
      </c>
      <c r="I6" s="15"/>
      <c r="J6" s="13"/>
      <c r="K6" s="14"/>
      <c r="L6" s="15"/>
      <c r="M6" s="13"/>
      <c r="N6" s="15"/>
      <c r="O6" s="19"/>
      <c r="P6" s="123"/>
      <c r="Q6" s="123"/>
      <c r="R6" s="123"/>
      <c r="S6" s="15"/>
      <c r="T6" s="62"/>
      <c r="U6" s="63"/>
    </row>
    <row r="7" spans="1:21" ht="23.1" customHeight="1" x14ac:dyDescent="0.35">
      <c r="A7" s="10"/>
      <c r="B7" s="100" t="s">
        <v>14</v>
      </c>
      <c r="C7" s="93"/>
      <c r="D7" s="129" t="s">
        <v>15</v>
      </c>
      <c r="E7" s="93" t="s">
        <v>16</v>
      </c>
      <c r="F7" s="93" t="s">
        <v>17</v>
      </c>
      <c r="G7" s="93" t="s">
        <v>18</v>
      </c>
      <c r="H7" s="93" t="s">
        <v>19</v>
      </c>
      <c r="I7" s="93" t="s">
        <v>20</v>
      </c>
      <c r="J7" s="93" t="s">
        <v>21</v>
      </c>
      <c r="K7" s="93" t="s">
        <v>22</v>
      </c>
      <c r="L7" s="124"/>
      <c r="M7" s="93" t="s">
        <v>23</v>
      </c>
      <c r="N7" s="95" t="s">
        <v>24</v>
      </c>
      <c r="O7" s="93" t="s">
        <v>25</v>
      </c>
      <c r="P7" s="125" t="s">
        <v>26</v>
      </c>
      <c r="Q7" s="125"/>
      <c r="R7" s="125"/>
      <c r="S7" s="125"/>
      <c r="T7" s="93" t="s">
        <v>27</v>
      </c>
      <c r="U7" s="98" t="s">
        <v>28</v>
      </c>
    </row>
    <row r="8" spans="1:21" ht="75" customHeight="1" x14ac:dyDescent="0.35">
      <c r="A8" s="10"/>
      <c r="B8" s="101"/>
      <c r="C8" s="102"/>
      <c r="D8" s="130"/>
      <c r="E8" s="97"/>
      <c r="F8" s="97"/>
      <c r="G8" s="94"/>
      <c r="H8" s="94"/>
      <c r="I8" s="97"/>
      <c r="J8" s="97"/>
      <c r="K8" s="21" t="s">
        <v>29</v>
      </c>
      <c r="L8" s="21" t="s">
        <v>30</v>
      </c>
      <c r="M8" s="94"/>
      <c r="N8" s="96"/>
      <c r="O8" s="97"/>
      <c r="P8" s="21" t="s">
        <v>18</v>
      </c>
      <c r="Q8" s="21" t="s">
        <v>21</v>
      </c>
      <c r="R8" s="21" t="s">
        <v>23</v>
      </c>
      <c r="S8" s="54" t="s">
        <v>24</v>
      </c>
      <c r="T8" s="97"/>
      <c r="U8" s="99"/>
    </row>
    <row r="9" spans="1:21" s="1" customFormat="1" ht="40.049999999999997" customHeight="1" x14ac:dyDescent="0.35">
      <c r="A9" s="22"/>
      <c r="B9" s="108" t="s">
        <v>31</v>
      </c>
      <c r="C9" s="114" t="s">
        <v>32</v>
      </c>
      <c r="D9" s="114" t="s">
        <v>33</v>
      </c>
      <c r="E9" s="103" t="s">
        <v>34</v>
      </c>
      <c r="F9" s="23" t="s">
        <v>35</v>
      </c>
      <c r="G9" s="24">
        <v>9</v>
      </c>
      <c r="H9" s="25" t="str">
        <f t="shared" ref="H9:H21" si="0">IF(N9&gt;180,"A",IF(N9&lt;60,"C","B"))</f>
        <v>A</v>
      </c>
      <c r="I9" s="23" t="s">
        <v>36</v>
      </c>
      <c r="J9" s="29">
        <v>5</v>
      </c>
      <c r="K9" s="55"/>
      <c r="L9" s="28" t="s">
        <v>37</v>
      </c>
      <c r="M9" s="29">
        <v>5</v>
      </c>
      <c r="N9" s="56">
        <f t="shared" ref="N9:N21" si="1">IF(G9*J9*M9=0,"",G9*J9*M9)</f>
        <v>225</v>
      </c>
      <c r="O9" s="28" t="s">
        <v>38</v>
      </c>
      <c r="P9" s="29">
        <f>G9</f>
        <v>9</v>
      </c>
      <c r="Q9" s="29">
        <f>J9</f>
        <v>5</v>
      </c>
      <c r="R9" s="29">
        <v>3</v>
      </c>
      <c r="S9" s="64">
        <f>P9*Q9*R9</f>
        <v>135</v>
      </c>
      <c r="T9" s="28" t="s">
        <v>39</v>
      </c>
      <c r="U9" s="65" t="s">
        <v>40</v>
      </c>
    </row>
    <row r="10" spans="1:21" s="1" customFormat="1" ht="30" customHeight="1" x14ac:dyDescent="0.65">
      <c r="A10" s="22"/>
      <c r="B10" s="109"/>
      <c r="C10" s="115"/>
      <c r="D10" s="115"/>
      <c r="E10" s="104"/>
      <c r="F10" s="23" t="s">
        <v>35</v>
      </c>
      <c r="G10" s="24">
        <v>9</v>
      </c>
      <c r="H10" s="25" t="str">
        <f t="shared" si="0"/>
        <v>B</v>
      </c>
      <c r="I10" s="23" t="s">
        <v>41</v>
      </c>
      <c r="J10" s="29">
        <v>3</v>
      </c>
      <c r="K10" s="55"/>
      <c r="L10" s="28" t="s">
        <v>37</v>
      </c>
      <c r="M10" s="29">
        <v>5</v>
      </c>
      <c r="N10" s="56">
        <f t="shared" si="1"/>
        <v>135</v>
      </c>
      <c r="O10" s="28" t="s">
        <v>38</v>
      </c>
      <c r="P10" s="29">
        <f>G10</f>
        <v>9</v>
      </c>
      <c r="Q10" s="29">
        <f>J10</f>
        <v>3</v>
      </c>
      <c r="R10" s="29">
        <v>3</v>
      </c>
      <c r="S10" s="64">
        <f>P10*Q10*R10</f>
        <v>81</v>
      </c>
      <c r="T10" s="28" t="s">
        <v>39</v>
      </c>
      <c r="U10" s="66" t="s">
        <v>40</v>
      </c>
    </row>
    <row r="11" spans="1:21" s="1" customFormat="1" ht="30" customHeight="1" x14ac:dyDescent="0.65">
      <c r="A11" s="22"/>
      <c r="B11" s="110"/>
      <c r="C11" s="23" t="s">
        <v>42</v>
      </c>
      <c r="D11" s="23" t="s">
        <v>43</v>
      </c>
      <c r="E11" s="26" t="s">
        <v>44</v>
      </c>
      <c r="F11" s="27" t="s">
        <v>45</v>
      </c>
      <c r="G11" s="25">
        <v>8</v>
      </c>
      <c r="H11" s="25" t="str">
        <f t="shared" si="0"/>
        <v>B</v>
      </c>
      <c r="I11" s="26" t="s">
        <v>46</v>
      </c>
      <c r="J11" s="25">
        <v>3</v>
      </c>
      <c r="K11" s="55"/>
      <c r="L11" s="28" t="s">
        <v>37</v>
      </c>
      <c r="M11" s="25">
        <v>3</v>
      </c>
      <c r="N11" s="56">
        <f t="shared" si="1"/>
        <v>72</v>
      </c>
      <c r="O11" s="28" t="s">
        <v>38</v>
      </c>
      <c r="P11" s="29">
        <f>G11</f>
        <v>8</v>
      </c>
      <c r="Q11" s="29">
        <f>J11</f>
        <v>3</v>
      </c>
      <c r="R11" s="29">
        <v>1</v>
      </c>
      <c r="S11" s="64">
        <f>P11*Q11*R11</f>
        <v>24</v>
      </c>
      <c r="T11" s="28" t="s">
        <v>39</v>
      </c>
      <c r="U11" s="66" t="s">
        <v>40</v>
      </c>
    </row>
    <row r="12" spans="1:21" s="1" customFormat="1" ht="30" customHeight="1" x14ac:dyDescent="0.35">
      <c r="A12" s="22"/>
      <c r="B12" s="111" t="s">
        <v>47</v>
      </c>
      <c r="C12" s="23" t="s">
        <v>48</v>
      </c>
      <c r="D12" s="23" t="s">
        <v>49</v>
      </c>
      <c r="E12" s="28" t="s">
        <v>50</v>
      </c>
      <c r="F12" s="28" t="s">
        <v>51</v>
      </c>
      <c r="G12" s="29">
        <v>9</v>
      </c>
      <c r="H12" s="25" t="str">
        <f t="shared" si="0"/>
        <v>C</v>
      </c>
      <c r="I12" s="30" t="s">
        <v>52</v>
      </c>
      <c r="J12" s="29">
        <v>5</v>
      </c>
      <c r="K12" s="55"/>
      <c r="L12" s="27" t="s">
        <v>53</v>
      </c>
      <c r="M12" s="29">
        <v>1</v>
      </c>
      <c r="N12" s="56">
        <f t="shared" si="1"/>
        <v>45</v>
      </c>
      <c r="O12" s="28" t="s">
        <v>54</v>
      </c>
      <c r="P12" s="55"/>
      <c r="Q12" s="55"/>
      <c r="R12" s="55"/>
      <c r="S12" s="67"/>
      <c r="T12" s="68"/>
      <c r="U12" s="69"/>
    </row>
    <row r="13" spans="1:21" s="1" customFormat="1" ht="30" customHeight="1" x14ac:dyDescent="0.35">
      <c r="A13" s="22"/>
      <c r="B13" s="112"/>
      <c r="C13" s="23" t="s">
        <v>55</v>
      </c>
      <c r="D13" s="23" t="s">
        <v>56</v>
      </c>
      <c r="E13" s="28" t="s">
        <v>57</v>
      </c>
      <c r="F13" s="28" t="s">
        <v>58</v>
      </c>
      <c r="G13" s="29">
        <v>9</v>
      </c>
      <c r="H13" s="25" t="str">
        <f t="shared" si="0"/>
        <v>C</v>
      </c>
      <c r="I13" s="28" t="s">
        <v>59</v>
      </c>
      <c r="J13" s="29">
        <v>5</v>
      </c>
      <c r="K13" s="55"/>
      <c r="L13" s="27" t="s">
        <v>53</v>
      </c>
      <c r="M13" s="29">
        <v>1</v>
      </c>
      <c r="N13" s="56">
        <f t="shared" si="1"/>
        <v>45</v>
      </c>
      <c r="O13" s="28" t="s">
        <v>54</v>
      </c>
      <c r="P13" s="55"/>
      <c r="Q13" s="55"/>
      <c r="R13" s="55"/>
      <c r="S13" s="67"/>
      <c r="T13" s="68"/>
      <c r="U13" s="69"/>
    </row>
    <row r="14" spans="1:21" s="1" customFormat="1" ht="45" customHeight="1" x14ac:dyDescent="0.35">
      <c r="A14" s="22"/>
      <c r="B14" s="108" t="s">
        <v>60</v>
      </c>
      <c r="C14" s="114" t="s">
        <v>61</v>
      </c>
      <c r="D14" s="114" t="s">
        <v>62</v>
      </c>
      <c r="E14" s="28" t="s">
        <v>63</v>
      </c>
      <c r="F14" s="30" t="s">
        <v>64</v>
      </c>
      <c r="G14" s="29">
        <v>8</v>
      </c>
      <c r="H14" s="25" t="str">
        <f t="shared" si="0"/>
        <v>C</v>
      </c>
      <c r="I14" s="28" t="s">
        <v>65</v>
      </c>
      <c r="J14" s="29">
        <v>3</v>
      </c>
      <c r="K14" s="55"/>
      <c r="L14" s="27" t="s">
        <v>53</v>
      </c>
      <c r="M14" s="29">
        <v>2</v>
      </c>
      <c r="N14" s="56">
        <f t="shared" si="1"/>
        <v>48</v>
      </c>
      <c r="O14" s="28" t="s">
        <v>54</v>
      </c>
      <c r="P14" s="55"/>
      <c r="Q14" s="55"/>
      <c r="R14" s="55"/>
      <c r="S14" s="67"/>
      <c r="T14" s="68"/>
      <c r="U14" s="69"/>
    </row>
    <row r="15" spans="1:21" s="1" customFormat="1" ht="30" customHeight="1" x14ac:dyDescent="0.35">
      <c r="A15" s="22"/>
      <c r="B15" s="109"/>
      <c r="C15" s="115"/>
      <c r="D15" s="115"/>
      <c r="E15" s="28" t="s">
        <v>63</v>
      </c>
      <c r="F15" s="30" t="s">
        <v>64</v>
      </c>
      <c r="G15" s="29">
        <v>8</v>
      </c>
      <c r="H15" s="25" t="str">
        <f t="shared" si="0"/>
        <v>C</v>
      </c>
      <c r="I15" s="28" t="s">
        <v>66</v>
      </c>
      <c r="J15" s="29">
        <v>3</v>
      </c>
      <c r="K15" s="55"/>
      <c r="L15" s="27" t="s">
        <v>53</v>
      </c>
      <c r="M15" s="29">
        <v>2</v>
      </c>
      <c r="N15" s="56">
        <f t="shared" si="1"/>
        <v>48</v>
      </c>
      <c r="O15" s="28" t="s">
        <v>54</v>
      </c>
      <c r="P15" s="55"/>
      <c r="Q15" s="55"/>
      <c r="R15" s="55"/>
      <c r="S15" s="67"/>
      <c r="T15" s="68"/>
      <c r="U15" s="69"/>
    </row>
    <row r="16" spans="1:21" s="1" customFormat="1" ht="47.1" customHeight="1" x14ac:dyDescent="0.35">
      <c r="A16" s="22"/>
      <c r="B16" s="109"/>
      <c r="C16" s="116"/>
      <c r="D16" s="116"/>
      <c r="E16" s="28" t="s">
        <v>67</v>
      </c>
      <c r="F16" s="27" t="s">
        <v>45</v>
      </c>
      <c r="G16" s="29">
        <v>9</v>
      </c>
      <c r="H16" s="25" t="str">
        <f t="shared" si="0"/>
        <v>C</v>
      </c>
      <c r="I16" s="28" t="s">
        <v>68</v>
      </c>
      <c r="J16" s="29">
        <v>3</v>
      </c>
      <c r="K16" s="55"/>
      <c r="L16" s="27" t="s">
        <v>53</v>
      </c>
      <c r="M16" s="29">
        <v>1</v>
      </c>
      <c r="N16" s="56">
        <f t="shared" si="1"/>
        <v>27</v>
      </c>
      <c r="O16" s="28" t="s">
        <v>54</v>
      </c>
      <c r="P16" s="55"/>
      <c r="Q16" s="55"/>
      <c r="R16" s="55"/>
      <c r="S16" s="67"/>
      <c r="T16" s="68"/>
      <c r="U16" s="69"/>
    </row>
    <row r="17" spans="1:21" s="1" customFormat="1" ht="30" customHeight="1" x14ac:dyDescent="0.35">
      <c r="A17" s="22"/>
      <c r="B17" s="111" t="s">
        <v>69</v>
      </c>
      <c r="C17" s="23" t="s">
        <v>69</v>
      </c>
      <c r="D17" s="23" t="s">
        <v>70</v>
      </c>
      <c r="E17" s="28" t="s">
        <v>71</v>
      </c>
      <c r="F17" s="23" t="s">
        <v>45</v>
      </c>
      <c r="G17" s="29">
        <v>8</v>
      </c>
      <c r="H17" s="25" t="str">
        <f t="shared" si="0"/>
        <v>C</v>
      </c>
      <c r="I17" s="28" t="s">
        <v>72</v>
      </c>
      <c r="J17" s="29">
        <v>2</v>
      </c>
      <c r="K17" s="55"/>
      <c r="L17" s="28" t="s">
        <v>53</v>
      </c>
      <c r="M17" s="29">
        <v>2</v>
      </c>
      <c r="N17" s="56">
        <f t="shared" si="1"/>
        <v>32</v>
      </c>
      <c r="O17" s="28" t="s">
        <v>54</v>
      </c>
      <c r="P17" s="55"/>
      <c r="Q17" s="55"/>
      <c r="R17" s="55"/>
      <c r="S17" s="67"/>
      <c r="T17" s="68"/>
      <c r="U17" s="69"/>
    </row>
    <row r="18" spans="1:21" s="1" customFormat="1" ht="30" customHeight="1" x14ac:dyDescent="0.35">
      <c r="A18" s="22"/>
      <c r="B18" s="113"/>
      <c r="C18" s="23" t="s">
        <v>73</v>
      </c>
      <c r="D18" s="23" t="s">
        <v>74</v>
      </c>
      <c r="E18" s="28" t="s">
        <v>75</v>
      </c>
      <c r="F18" s="28" t="s">
        <v>76</v>
      </c>
      <c r="G18" s="29">
        <v>8</v>
      </c>
      <c r="H18" s="25" t="str">
        <f t="shared" si="0"/>
        <v>B</v>
      </c>
      <c r="I18" s="28" t="s">
        <v>77</v>
      </c>
      <c r="J18" s="29">
        <v>3</v>
      </c>
      <c r="K18" s="55"/>
      <c r="L18" s="27" t="s">
        <v>53</v>
      </c>
      <c r="M18" s="29">
        <v>3</v>
      </c>
      <c r="N18" s="56">
        <f t="shared" si="1"/>
        <v>72</v>
      </c>
      <c r="O18" s="28" t="s">
        <v>78</v>
      </c>
      <c r="P18" s="29">
        <f>G18</f>
        <v>8</v>
      </c>
      <c r="Q18" s="29">
        <f>J18</f>
        <v>3</v>
      </c>
      <c r="R18" s="29">
        <v>1</v>
      </c>
      <c r="S18" s="64">
        <f>P18*Q18*R18</f>
        <v>24</v>
      </c>
      <c r="T18" s="28" t="s">
        <v>79</v>
      </c>
      <c r="U18" s="65" t="s">
        <v>40</v>
      </c>
    </row>
    <row r="19" spans="1:21" s="1" customFormat="1" ht="44.1" customHeight="1" x14ac:dyDescent="0.35">
      <c r="A19" s="22"/>
      <c r="B19" s="112"/>
      <c r="C19" s="23" t="s">
        <v>80</v>
      </c>
      <c r="D19" s="23" t="s">
        <v>81</v>
      </c>
      <c r="E19" s="28" t="s">
        <v>82</v>
      </c>
      <c r="F19" s="28" t="s">
        <v>83</v>
      </c>
      <c r="G19" s="29">
        <v>9</v>
      </c>
      <c r="H19" s="25" t="str">
        <f t="shared" si="0"/>
        <v>B</v>
      </c>
      <c r="I19" s="28" t="s">
        <v>46</v>
      </c>
      <c r="J19" s="29">
        <v>3</v>
      </c>
      <c r="K19" s="55"/>
      <c r="L19" s="27" t="s">
        <v>53</v>
      </c>
      <c r="M19" s="29">
        <v>3</v>
      </c>
      <c r="N19" s="56">
        <f t="shared" si="1"/>
        <v>81</v>
      </c>
      <c r="O19" s="28" t="s">
        <v>84</v>
      </c>
      <c r="P19" s="29">
        <v>8</v>
      </c>
      <c r="Q19" s="29">
        <v>3</v>
      </c>
      <c r="R19" s="29">
        <v>1</v>
      </c>
      <c r="S19" s="64">
        <f>P19*Q19*R19</f>
        <v>24</v>
      </c>
      <c r="T19" s="27" t="s">
        <v>85</v>
      </c>
      <c r="U19" s="70"/>
    </row>
    <row r="20" spans="1:21" s="1" customFormat="1" ht="37.049999999999997" customHeight="1" x14ac:dyDescent="0.35">
      <c r="A20" s="22"/>
      <c r="B20" s="31" t="s">
        <v>86</v>
      </c>
      <c r="C20" s="32" t="s">
        <v>87</v>
      </c>
      <c r="D20" s="32" t="s">
        <v>88</v>
      </c>
      <c r="E20" s="33" t="s">
        <v>89</v>
      </c>
      <c r="F20" s="33" t="s">
        <v>90</v>
      </c>
      <c r="G20" s="34">
        <v>3</v>
      </c>
      <c r="H20" s="35" t="str">
        <f t="shared" si="0"/>
        <v>C</v>
      </c>
      <c r="I20" s="33" t="s">
        <v>91</v>
      </c>
      <c r="J20" s="34">
        <v>5</v>
      </c>
      <c r="K20" s="57"/>
      <c r="L20" s="58" t="s">
        <v>53</v>
      </c>
      <c r="M20" s="34">
        <v>2</v>
      </c>
      <c r="N20" s="59">
        <f t="shared" si="1"/>
        <v>30</v>
      </c>
      <c r="O20" s="33" t="s">
        <v>54</v>
      </c>
      <c r="P20" s="57"/>
      <c r="Q20" s="57"/>
      <c r="R20" s="57"/>
      <c r="S20" s="71"/>
      <c r="T20" s="72"/>
      <c r="U20" s="73"/>
    </row>
    <row r="21" spans="1:21" s="1" customFormat="1" ht="30" customHeight="1" x14ac:dyDescent="0.35">
      <c r="A21" s="22"/>
      <c r="B21" s="36" t="s">
        <v>92</v>
      </c>
      <c r="C21" s="23" t="s">
        <v>92</v>
      </c>
      <c r="D21" s="23" t="s">
        <v>93</v>
      </c>
      <c r="E21" s="28" t="s">
        <v>94</v>
      </c>
      <c r="F21" s="28" t="s">
        <v>45</v>
      </c>
      <c r="G21" s="29">
        <v>8</v>
      </c>
      <c r="H21" s="25" t="str">
        <f t="shared" si="0"/>
        <v>C</v>
      </c>
      <c r="I21" s="28" t="s">
        <v>95</v>
      </c>
      <c r="J21" s="29">
        <v>2</v>
      </c>
      <c r="K21" s="55"/>
      <c r="L21" s="28" t="s">
        <v>53</v>
      </c>
      <c r="M21" s="29">
        <v>2</v>
      </c>
      <c r="N21" s="56">
        <f t="shared" si="1"/>
        <v>32</v>
      </c>
      <c r="O21" s="28" t="s">
        <v>54</v>
      </c>
      <c r="P21" s="55"/>
      <c r="Q21" s="55"/>
      <c r="R21" s="55"/>
      <c r="S21" s="67"/>
      <c r="T21" s="68"/>
      <c r="U21" s="69"/>
    </row>
    <row r="22" spans="1:21" s="1" customFormat="1" ht="27.75" x14ac:dyDescent="0.6">
      <c r="A22" s="10"/>
      <c r="B22" s="37"/>
      <c r="C22" s="37"/>
      <c r="D22" s="38"/>
      <c r="E22" s="39"/>
      <c r="F22" s="39"/>
      <c r="G22" s="37"/>
      <c r="H22" s="40"/>
      <c r="I22" s="39"/>
      <c r="J22" s="37"/>
      <c r="K22" s="38"/>
      <c r="L22" s="39"/>
      <c r="M22" s="37"/>
      <c r="N22" s="60"/>
      <c r="O22" s="39"/>
      <c r="P22" s="38"/>
      <c r="Q22" s="38"/>
      <c r="R22" s="38"/>
      <c r="S22" s="74"/>
      <c r="T22" s="75"/>
      <c r="U22" s="53"/>
    </row>
    <row r="23" spans="1:21" s="1" customFormat="1" ht="28.5" x14ac:dyDescent="0.6">
      <c r="A23" s="10"/>
      <c r="B23" s="126" t="s">
        <v>96</v>
      </c>
      <c r="C23" s="126"/>
      <c r="D23" s="127"/>
      <c r="E23" s="39"/>
      <c r="F23" s="39"/>
      <c r="G23" s="37"/>
      <c r="H23" s="40"/>
      <c r="I23" s="39"/>
      <c r="J23" s="37"/>
      <c r="K23" s="38"/>
      <c r="L23" s="39"/>
      <c r="M23" s="37"/>
      <c r="N23" s="60"/>
      <c r="O23" s="105"/>
      <c r="P23" s="128"/>
      <c r="Q23" s="128"/>
      <c r="R23" s="76"/>
      <c r="S23" s="77"/>
      <c r="T23" s="75"/>
      <c r="U23" s="53"/>
    </row>
    <row r="24" spans="1:21" s="1" customFormat="1" ht="27.75" x14ac:dyDescent="0.35">
      <c r="A24" s="10"/>
      <c r="B24" s="41" t="s">
        <v>97</v>
      </c>
      <c r="C24" s="42" t="s">
        <v>98</v>
      </c>
      <c r="D24" s="42" t="s">
        <v>99</v>
      </c>
      <c r="E24" s="43" t="s">
        <v>100</v>
      </c>
      <c r="G24" s="44"/>
      <c r="H24" s="44"/>
      <c r="J24" s="37"/>
      <c r="K24" s="38"/>
      <c r="L24" s="39"/>
      <c r="M24" s="37"/>
      <c r="N24" s="60"/>
      <c r="O24" s="105"/>
      <c r="P24" s="105"/>
      <c r="Q24" s="105"/>
      <c r="R24" s="105"/>
      <c r="S24" s="105"/>
      <c r="T24" s="78" t="s">
        <v>101</v>
      </c>
      <c r="U24" s="79"/>
    </row>
    <row r="25" spans="1:21" s="1" customFormat="1" ht="27.75" x14ac:dyDescent="0.35">
      <c r="A25" s="10"/>
      <c r="B25" s="45" t="s">
        <v>102</v>
      </c>
      <c r="C25" s="46" t="s">
        <v>103</v>
      </c>
      <c r="D25" s="47"/>
      <c r="E25" s="48"/>
      <c r="G25" s="44"/>
      <c r="H25" s="44"/>
      <c r="J25" s="37"/>
      <c r="K25" s="38"/>
      <c r="L25" s="39"/>
      <c r="M25" s="37"/>
      <c r="N25" s="60"/>
      <c r="O25" s="106"/>
      <c r="P25" s="106"/>
      <c r="Q25" s="106"/>
      <c r="R25" s="106"/>
      <c r="S25" s="106"/>
      <c r="T25" s="80" t="s">
        <v>104</v>
      </c>
      <c r="U25" s="81"/>
    </row>
    <row r="26" spans="1:21" s="1" customFormat="1" ht="17.649999999999999" x14ac:dyDescent="0.35">
      <c r="A26" s="10"/>
      <c r="B26" s="45" t="s">
        <v>105</v>
      </c>
      <c r="C26" s="46" t="s">
        <v>106</v>
      </c>
      <c r="D26" s="47"/>
      <c r="E26" s="48"/>
      <c r="G26" s="44"/>
      <c r="H26" s="44"/>
      <c r="J26" s="37"/>
      <c r="K26" s="38"/>
      <c r="L26" s="39"/>
      <c r="M26" s="37"/>
      <c r="N26" s="60"/>
      <c r="O26" s="107"/>
      <c r="P26" s="107"/>
      <c r="Q26" s="107"/>
      <c r="R26" s="107"/>
      <c r="S26" s="107"/>
      <c r="T26" s="82" t="s">
        <v>107</v>
      </c>
      <c r="U26" s="83"/>
    </row>
    <row r="27" spans="1:21" s="1" customFormat="1" ht="17.649999999999999" x14ac:dyDescent="0.35">
      <c r="A27" s="10"/>
      <c r="B27" s="45" t="s">
        <v>108</v>
      </c>
      <c r="C27" s="46" t="s">
        <v>109</v>
      </c>
      <c r="D27" s="47"/>
      <c r="E27" s="48"/>
      <c r="G27" s="44"/>
      <c r="H27" s="44"/>
      <c r="J27" s="37"/>
      <c r="K27" s="38"/>
      <c r="L27" s="39"/>
      <c r="M27" s="37"/>
      <c r="N27" s="60"/>
      <c r="O27" s="39"/>
      <c r="P27" s="38"/>
      <c r="Q27" s="38"/>
      <c r="R27" s="38"/>
      <c r="S27" s="74"/>
      <c r="T27" s="84"/>
      <c r="U27" s="84"/>
    </row>
    <row r="28" spans="1:21" s="1" customFormat="1" ht="17.649999999999999" x14ac:dyDescent="0.35">
      <c r="A28" s="10"/>
      <c r="B28" s="45" t="s">
        <v>110</v>
      </c>
      <c r="C28" s="46" t="s">
        <v>106</v>
      </c>
      <c r="D28" s="47"/>
      <c r="E28" s="48"/>
      <c r="G28" s="44"/>
      <c r="H28" s="44"/>
      <c r="J28" s="37"/>
      <c r="K28" s="38"/>
      <c r="L28" s="39"/>
      <c r="M28" s="37"/>
      <c r="N28" s="60"/>
      <c r="O28" s="39"/>
      <c r="P28" s="38"/>
      <c r="Q28" s="38"/>
      <c r="R28" s="38"/>
      <c r="S28" s="74"/>
      <c r="T28" s="84"/>
      <c r="U28" s="84"/>
    </row>
    <row r="29" spans="1:21" s="1" customFormat="1" ht="17.649999999999999" x14ac:dyDescent="0.35">
      <c r="A29" s="10"/>
      <c r="B29" s="45" t="s">
        <v>111</v>
      </c>
      <c r="C29" s="46" t="s">
        <v>112</v>
      </c>
      <c r="D29" s="47"/>
      <c r="E29" s="48"/>
      <c r="G29" s="44"/>
      <c r="H29" s="44"/>
      <c r="J29" s="37"/>
      <c r="K29" s="38"/>
      <c r="L29" s="39"/>
      <c r="M29" s="37"/>
      <c r="N29" s="60"/>
      <c r="O29" s="39"/>
      <c r="P29" s="38"/>
      <c r="Q29" s="38"/>
      <c r="R29" s="38"/>
      <c r="S29" s="74"/>
      <c r="T29" s="84"/>
      <c r="U29" s="84"/>
    </row>
    <row r="30" spans="1:21" s="1" customFormat="1" ht="17.649999999999999" x14ac:dyDescent="0.35">
      <c r="A30" s="10"/>
      <c r="B30" s="49" t="s">
        <v>113</v>
      </c>
      <c r="C30" s="46" t="s">
        <v>106</v>
      </c>
      <c r="D30" s="50"/>
      <c r="E30" s="51"/>
      <c r="F30" s="39"/>
      <c r="G30" s="37"/>
      <c r="H30" s="40"/>
      <c r="I30" s="39"/>
      <c r="J30" s="37"/>
      <c r="K30" s="38"/>
      <c r="L30" s="39"/>
      <c r="M30" s="37"/>
      <c r="N30" s="60"/>
      <c r="O30" s="39"/>
      <c r="P30" s="38"/>
      <c r="Q30" s="38"/>
      <c r="R30" s="38"/>
      <c r="S30" s="74"/>
      <c r="T30" s="84"/>
      <c r="U30" s="84"/>
    </row>
    <row r="31" spans="1:21" s="1" customFormat="1" ht="13.15" x14ac:dyDescent="0.35">
      <c r="A31" s="10"/>
      <c r="B31" s="37"/>
      <c r="C31" s="37"/>
      <c r="D31" s="38"/>
      <c r="E31" s="39"/>
      <c r="F31" s="39"/>
      <c r="G31" s="37"/>
      <c r="H31" s="40"/>
      <c r="I31" s="39"/>
      <c r="J31" s="37"/>
      <c r="K31" s="38"/>
      <c r="L31" s="39"/>
      <c r="M31" s="37"/>
      <c r="N31" s="60"/>
      <c r="O31" s="39"/>
      <c r="P31" s="38"/>
      <c r="Q31" s="38"/>
      <c r="R31" s="38"/>
      <c r="S31" s="74"/>
      <c r="T31" s="53"/>
      <c r="U31" s="53"/>
    </row>
    <row r="32" spans="1:21" s="1" customFormat="1" ht="13.15" x14ac:dyDescent="0.35">
      <c r="A32" s="10"/>
      <c r="B32" s="37"/>
      <c r="C32" s="37"/>
      <c r="D32" s="38"/>
      <c r="E32" s="39"/>
      <c r="F32" s="39"/>
      <c r="G32" s="37"/>
      <c r="H32" s="40"/>
      <c r="I32" s="39"/>
      <c r="J32" s="37"/>
      <c r="K32" s="38"/>
      <c r="L32" s="39"/>
      <c r="M32" s="37"/>
      <c r="N32" s="60"/>
      <c r="O32" s="39"/>
      <c r="P32" s="38"/>
      <c r="Q32" s="38"/>
      <c r="R32" s="38"/>
      <c r="S32" s="74"/>
      <c r="T32" s="53"/>
      <c r="U32" s="53"/>
    </row>
    <row r="33" spans="1:21" s="1" customFormat="1" ht="13.15" x14ac:dyDescent="0.35">
      <c r="A33" s="10"/>
      <c r="B33" s="37"/>
      <c r="C33" s="37"/>
      <c r="D33" s="38"/>
      <c r="E33" s="39"/>
      <c r="F33" s="39"/>
      <c r="G33" s="37"/>
      <c r="H33" s="40"/>
      <c r="I33" s="39"/>
      <c r="J33" s="37"/>
      <c r="K33" s="38"/>
      <c r="L33" s="39"/>
      <c r="M33" s="37"/>
      <c r="N33" s="60"/>
      <c r="O33" s="39"/>
      <c r="P33" s="38"/>
      <c r="Q33" s="38"/>
      <c r="R33" s="38"/>
      <c r="S33" s="74"/>
      <c r="T33" s="53"/>
      <c r="U33" s="53"/>
    </row>
    <row r="34" spans="1:21" s="1" customFormat="1" ht="13.15" x14ac:dyDescent="0.35">
      <c r="A34" s="10"/>
      <c r="B34" s="37"/>
      <c r="C34" s="37"/>
      <c r="D34" s="38"/>
      <c r="E34" s="39"/>
      <c r="F34" s="39"/>
      <c r="G34" s="37"/>
      <c r="H34" s="40"/>
      <c r="I34" s="39"/>
      <c r="J34" s="37"/>
      <c r="K34" s="38"/>
      <c r="L34" s="39"/>
      <c r="M34" s="37"/>
      <c r="N34" s="60"/>
      <c r="O34" s="39"/>
      <c r="P34" s="38"/>
      <c r="Q34" s="38"/>
      <c r="R34" s="38"/>
      <c r="S34" s="74"/>
      <c r="T34" s="53"/>
      <c r="U34" s="53"/>
    </row>
    <row r="35" spans="1:21" s="1" customFormat="1" ht="65.25" customHeight="1" x14ac:dyDescent="0.35">
      <c r="A35" s="10"/>
      <c r="B35" s="37"/>
      <c r="C35" s="37"/>
      <c r="D35" s="38"/>
      <c r="E35" s="39"/>
      <c r="F35" s="39"/>
      <c r="G35" s="37"/>
      <c r="H35" s="40"/>
      <c r="I35" s="39"/>
      <c r="J35" s="37"/>
      <c r="K35" s="38"/>
      <c r="L35" s="39"/>
      <c r="M35" s="37"/>
      <c r="N35" s="60"/>
      <c r="O35" s="39"/>
      <c r="P35" s="38"/>
      <c r="Q35" s="38"/>
      <c r="R35" s="38"/>
      <c r="S35" s="74"/>
      <c r="T35" s="53"/>
      <c r="U35" s="53"/>
    </row>
    <row r="36" spans="1:21" s="1" customFormat="1" ht="65.25" customHeight="1" x14ac:dyDescent="0.35">
      <c r="A36" s="10"/>
      <c r="B36" s="37"/>
      <c r="C36" s="37"/>
      <c r="D36" s="38"/>
      <c r="E36" s="39"/>
      <c r="F36" s="39"/>
      <c r="G36" s="37"/>
      <c r="H36" s="40"/>
      <c r="I36" s="39"/>
      <c r="J36" s="37"/>
      <c r="K36" s="38"/>
      <c r="L36" s="39"/>
      <c r="M36" s="37"/>
      <c r="N36" s="60"/>
      <c r="O36" s="39"/>
      <c r="P36" s="38"/>
      <c r="Q36" s="38"/>
      <c r="R36" s="38"/>
      <c r="S36" s="74"/>
      <c r="T36" s="53"/>
      <c r="U36" s="53"/>
    </row>
    <row r="37" spans="1:21" s="1" customFormat="1" ht="13.15" x14ac:dyDescent="0.35">
      <c r="A37" s="10"/>
      <c r="B37" s="37"/>
      <c r="C37" s="37"/>
      <c r="D37" s="38"/>
      <c r="E37" s="39"/>
      <c r="F37" s="39"/>
      <c r="G37" s="37"/>
      <c r="H37" s="40"/>
      <c r="I37" s="39"/>
      <c r="J37" s="37"/>
      <c r="K37" s="38"/>
      <c r="L37" s="39"/>
      <c r="M37" s="37"/>
      <c r="N37" s="60"/>
      <c r="O37" s="39"/>
      <c r="P37" s="38"/>
      <c r="Q37" s="38"/>
      <c r="R37" s="38"/>
      <c r="S37" s="74"/>
      <c r="T37" s="53"/>
      <c r="U37" s="53"/>
    </row>
    <row r="38" spans="1:21" s="1" customFormat="1" ht="162" customHeight="1" x14ac:dyDescent="0.35">
      <c r="A38" s="10"/>
      <c r="B38" s="37"/>
      <c r="C38" s="37"/>
      <c r="D38" s="38"/>
      <c r="E38" s="39"/>
      <c r="F38" s="39"/>
      <c r="G38" s="37"/>
      <c r="H38" s="40"/>
      <c r="I38" s="39"/>
      <c r="J38" s="37"/>
      <c r="K38" s="38"/>
      <c r="L38" s="39"/>
      <c r="M38" s="37"/>
      <c r="N38" s="60"/>
      <c r="O38" s="39"/>
      <c r="P38" s="38"/>
      <c r="Q38" s="38"/>
      <c r="R38" s="38"/>
      <c r="S38" s="74"/>
      <c r="T38" s="53"/>
      <c r="U38" s="53"/>
    </row>
    <row r="39" spans="1:21" s="1" customFormat="1" ht="54" customHeight="1" x14ac:dyDescent="0.35">
      <c r="A39" s="10"/>
      <c r="B39" s="37"/>
      <c r="C39" s="37"/>
      <c r="D39" s="38"/>
      <c r="E39" s="39"/>
      <c r="F39" s="39"/>
      <c r="G39" s="37"/>
      <c r="H39" s="40"/>
      <c r="I39" s="39"/>
      <c r="J39" s="37"/>
      <c r="K39" s="38"/>
      <c r="L39" s="39"/>
      <c r="M39" s="37"/>
      <c r="N39" s="60"/>
      <c r="O39" s="39"/>
      <c r="P39" s="38"/>
      <c r="Q39" s="38"/>
      <c r="R39" s="38"/>
      <c r="S39" s="74"/>
      <c r="T39" s="53"/>
      <c r="U39" s="53"/>
    </row>
    <row r="40" spans="1:21" s="1" customFormat="1" ht="13.15" x14ac:dyDescent="0.35">
      <c r="A40" s="10"/>
      <c r="B40" s="37"/>
      <c r="C40" s="37"/>
      <c r="D40" s="38"/>
      <c r="E40" s="39"/>
      <c r="F40" s="39"/>
      <c r="G40" s="37"/>
      <c r="H40" s="40"/>
      <c r="I40" s="39"/>
      <c r="J40" s="37"/>
      <c r="K40" s="38"/>
      <c r="L40" s="39"/>
      <c r="M40" s="37"/>
      <c r="N40" s="60"/>
      <c r="O40" s="39"/>
      <c r="P40" s="38"/>
      <c r="Q40" s="38"/>
      <c r="R40" s="38"/>
      <c r="S40" s="74"/>
      <c r="T40" s="53"/>
      <c r="U40" s="53"/>
    </row>
    <row r="41" spans="1:21" s="1" customFormat="1" ht="81" customHeight="1" x14ac:dyDescent="0.35">
      <c r="A41" s="10"/>
      <c r="B41" s="37"/>
      <c r="C41" s="37"/>
      <c r="D41" s="38"/>
      <c r="E41" s="39"/>
      <c r="F41" s="39"/>
      <c r="G41" s="37"/>
      <c r="H41" s="40"/>
      <c r="I41" s="39"/>
      <c r="J41" s="37"/>
      <c r="K41" s="38"/>
      <c r="L41" s="39"/>
      <c r="M41" s="37"/>
      <c r="N41" s="60"/>
      <c r="O41" s="39"/>
      <c r="P41" s="38"/>
      <c r="Q41" s="38"/>
      <c r="R41" s="38"/>
      <c r="S41" s="74"/>
      <c r="T41" s="53"/>
      <c r="U41" s="53"/>
    </row>
    <row r="42" spans="1:21" s="1" customFormat="1" ht="155.25" customHeight="1" x14ac:dyDescent="0.35">
      <c r="A42" s="10"/>
      <c r="B42" s="37"/>
      <c r="C42" s="37"/>
      <c r="D42" s="38"/>
      <c r="E42" s="39"/>
      <c r="F42" s="39"/>
      <c r="G42" s="37"/>
      <c r="H42" s="40"/>
      <c r="I42" s="39"/>
      <c r="J42" s="37"/>
      <c r="K42" s="38"/>
      <c r="L42" s="39"/>
      <c r="M42" s="37"/>
      <c r="N42" s="60"/>
      <c r="O42" s="39"/>
      <c r="P42" s="38"/>
      <c r="Q42" s="38"/>
      <c r="R42" s="38"/>
      <c r="S42" s="74"/>
      <c r="T42" s="53"/>
      <c r="U42" s="53"/>
    </row>
    <row r="43" spans="1:21" s="1" customFormat="1" ht="13.15" x14ac:dyDescent="0.35">
      <c r="A43" s="10"/>
      <c r="B43" s="37"/>
      <c r="C43" s="37"/>
      <c r="D43" s="38"/>
      <c r="E43" s="39"/>
      <c r="F43" s="39"/>
      <c r="G43" s="37"/>
      <c r="H43" s="40"/>
      <c r="I43" s="39"/>
      <c r="J43" s="37"/>
      <c r="K43" s="38"/>
      <c r="L43" s="39"/>
      <c r="M43" s="37"/>
      <c r="N43" s="60"/>
      <c r="O43" s="39"/>
      <c r="P43" s="38"/>
      <c r="Q43" s="38"/>
      <c r="R43" s="38"/>
      <c r="S43" s="74"/>
      <c r="T43" s="53"/>
      <c r="U43" s="53"/>
    </row>
    <row r="44" spans="1:21" s="1" customFormat="1" ht="13.15" x14ac:dyDescent="0.35">
      <c r="A44" s="10"/>
      <c r="B44" s="37"/>
      <c r="C44" s="37"/>
      <c r="D44" s="38"/>
      <c r="E44" s="39"/>
      <c r="F44" s="39"/>
      <c r="G44" s="37"/>
      <c r="H44" s="40"/>
      <c r="I44" s="39"/>
      <c r="J44" s="37"/>
      <c r="K44" s="38"/>
      <c r="L44" s="39"/>
      <c r="M44" s="37"/>
      <c r="N44" s="60"/>
      <c r="O44" s="39"/>
      <c r="P44" s="38"/>
      <c r="Q44" s="38"/>
      <c r="R44" s="38"/>
      <c r="S44" s="74"/>
      <c r="T44" s="53"/>
      <c r="U44" s="53"/>
    </row>
    <row r="45" spans="1:21" s="1" customFormat="1" ht="13.15" x14ac:dyDescent="0.35">
      <c r="A45" s="10"/>
      <c r="B45" s="37"/>
      <c r="C45" s="37"/>
      <c r="D45" s="38"/>
      <c r="E45" s="39"/>
      <c r="F45" s="39"/>
      <c r="G45" s="37"/>
      <c r="H45" s="40"/>
      <c r="I45" s="39"/>
      <c r="J45" s="37"/>
      <c r="K45" s="38"/>
      <c r="L45" s="39"/>
      <c r="M45" s="37"/>
      <c r="N45" s="60"/>
      <c r="O45" s="39"/>
      <c r="P45" s="38"/>
      <c r="Q45" s="38"/>
      <c r="R45" s="38"/>
      <c r="S45" s="74"/>
      <c r="T45" s="53"/>
      <c r="U45" s="53"/>
    </row>
    <row r="46" spans="1:21" s="1" customFormat="1" ht="67.5" customHeight="1" x14ac:dyDescent="0.35">
      <c r="A46" s="10"/>
      <c r="B46" s="37"/>
      <c r="C46" s="37"/>
      <c r="D46" s="38"/>
      <c r="E46" s="39"/>
      <c r="F46" s="39"/>
      <c r="G46" s="37"/>
      <c r="H46" s="40"/>
      <c r="I46" s="39"/>
      <c r="J46" s="37"/>
      <c r="K46" s="38"/>
      <c r="L46" s="39"/>
      <c r="M46" s="37"/>
      <c r="N46" s="60"/>
      <c r="O46" s="39"/>
      <c r="P46" s="38"/>
      <c r="Q46" s="38"/>
      <c r="R46" s="38"/>
      <c r="S46" s="74"/>
      <c r="T46" s="53"/>
      <c r="U46" s="53"/>
    </row>
    <row r="47" spans="1:21" s="1" customFormat="1" ht="13.15" x14ac:dyDescent="0.35">
      <c r="A47" s="10"/>
      <c r="B47" s="37"/>
      <c r="C47" s="37"/>
      <c r="D47" s="38"/>
      <c r="E47" s="39"/>
      <c r="F47" s="39"/>
      <c r="G47" s="37"/>
      <c r="H47" s="40"/>
      <c r="I47" s="39"/>
      <c r="J47" s="37"/>
      <c r="K47" s="38"/>
      <c r="L47" s="39"/>
      <c r="M47" s="37"/>
      <c r="N47" s="60"/>
      <c r="O47" s="39"/>
      <c r="P47" s="38"/>
      <c r="Q47" s="38"/>
      <c r="R47" s="38"/>
      <c r="S47" s="74"/>
      <c r="T47" s="53"/>
      <c r="U47" s="53"/>
    </row>
    <row r="48" spans="1:21" s="1" customFormat="1" ht="13.15" x14ac:dyDescent="0.35">
      <c r="A48" s="10"/>
      <c r="B48" s="37"/>
      <c r="C48" s="37"/>
      <c r="D48" s="38"/>
      <c r="E48" s="39"/>
      <c r="F48" s="39"/>
      <c r="G48" s="37"/>
      <c r="H48" s="40"/>
      <c r="I48" s="39"/>
      <c r="J48" s="37"/>
      <c r="K48" s="38"/>
      <c r="L48" s="39"/>
      <c r="M48" s="37"/>
      <c r="N48" s="60"/>
      <c r="O48" s="39"/>
      <c r="P48" s="38"/>
      <c r="Q48" s="38"/>
      <c r="R48" s="38"/>
      <c r="S48" s="74"/>
      <c r="T48" s="53"/>
      <c r="U48" s="53"/>
    </row>
    <row r="49" spans="1:21" s="1" customFormat="1" ht="94.5" customHeight="1" x14ac:dyDescent="0.35">
      <c r="A49" s="10"/>
      <c r="B49" s="37"/>
      <c r="C49" s="37"/>
      <c r="D49" s="38"/>
      <c r="E49" s="39"/>
      <c r="F49" s="39"/>
      <c r="G49" s="37"/>
      <c r="H49" s="40"/>
      <c r="I49" s="39"/>
      <c r="J49" s="37"/>
      <c r="K49" s="38"/>
      <c r="L49" s="39"/>
      <c r="M49" s="37"/>
      <c r="N49" s="60"/>
      <c r="O49" s="39"/>
      <c r="P49" s="38"/>
      <c r="Q49" s="38"/>
      <c r="R49" s="38"/>
      <c r="S49" s="74"/>
      <c r="T49" s="53"/>
      <c r="U49" s="53"/>
    </row>
    <row r="50" spans="1:21" s="1" customFormat="1" ht="13.15" x14ac:dyDescent="0.35">
      <c r="A50" s="10"/>
      <c r="B50" s="37"/>
      <c r="C50" s="37"/>
      <c r="D50" s="38"/>
      <c r="E50" s="39"/>
      <c r="F50" s="39"/>
      <c r="G50" s="37"/>
      <c r="H50" s="40"/>
      <c r="I50" s="39"/>
      <c r="J50" s="37"/>
      <c r="K50" s="38"/>
      <c r="L50" s="39"/>
      <c r="M50" s="37"/>
      <c r="N50" s="60"/>
      <c r="O50" s="39"/>
      <c r="P50" s="38"/>
      <c r="Q50" s="38"/>
      <c r="R50" s="38"/>
      <c r="S50" s="74"/>
      <c r="T50" s="53"/>
      <c r="U50" s="53"/>
    </row>
    <row r="51" spans="1:21" s="1" customFormat="1" ht="13.15" x14ac:dyDescent="0.35">
      <c r="A51" s="10"/>
      <c r="B51" s="37"/>
      <c r="C51" s="37"/>
      <c r="D51" s="38"/>
      <c r="E51" s="39"/>
      <c r="F51" s="39"/>
      <c r="G51" s="37"/>
      <c r="H51" s="40"/>
      <c r="I51" s="39"/>
      <c r="J51" s="37"/>
      <c r="K51" s="38"/>
      <c r="L51" s="39"/>
      <c r="M51" s="37"/>
      <c r="N51" s="60"/>
      <c r="O51" s="39"/>
      <c r="P51" s="38"/>
      <c r="Q51" s="38"/>
      <c r="R51" s="38"/>
      <c r="S51" s="74"/>
      <c r="T51" s="53"/>
      <c r="U51" s="53"/>
    </row>
    <row r="52" spans="1:21" s="1" customFormat="1" ht="13.15" x14ac:dyDescent="0.35">
      <c r="A52" s="10"/>
      <c r="B52" s="37"/>
      <c r="C52" s="37"/>
      <c r="D52" s="38"/>
      <c r="E52" s="39"/>
      <c r="F52" s="39"/>
      <c r="G52" s="37"/>
      <c r="H52" s="40"/>
      <c r="I52" s="39"/>
      <c r="J52" s="37"/>
      <c r="K52" s="38"/>
      <c r="L52" s="39"/>
      <c r="M52" s="37"/>
      <c r="N52" s="60"/>
      <c r="O52" s="39"/>
      <c r="P52" s="38"/>
      <c r="Q52" s="38"/>
      <c r="R52" s="38"/>
      <c r="S52" s="74"/>
      <c r="T52" s="53"/>
      <c r="U52" s="53"/>
    </row>
    <row r="53" spans="1:21" s="1" customFormat="1" ht="13.15" x14ac:dyDescent="0.35">
      <c r="A53" s="10"/>
      <c r="B53" s="37"/>
      <c r="C53" s="37"/>
      <c r="D53" s="38"/>
      <c r="E53" s="39"/>
      <c r="F53" s="39"/>
      <c r="G53" s="37"/>
      <c r="H53" s="40"/>
      <c r="I53" s="39"/>
      <c r="J53" s="37"/>
      <c r="K53" s="38"/>
      <c r="L53" s="39"/>
      <c r="M53" s="37"/>
      <c r="N53" s="60"/>
      <c r="O53" s="39"/>
      <c r="P53" s="38"/>
      <c r="Q53" s="38"/>
      <c r="R53" s="38"/>
      <c r="S53" s="74"/>
      <c r="T53" s="53"/>
      <c r="U53" s="53"/>
    </row>
    <row r="54" spans="1:21" s="1" customFormat="1" ht="13.15" x14ac:dyDescent="0.35">
      <c r="A54" s="10"/>
      <c r="B54" s="37"/>
      <c r="C54" s="37"/>
      <c r="D54" s="38"/>
      <c r="E54" s="39"/>
      <c r="F54" s="39"/>
      <c r="G54" s="37"/>
      <c r="H54" s="40"/>
      <c r="I54" s="39"/>
      <c r="J54" s="37"/>
      <c r="K54" s="38"/>
      <c r="L54" s="39"/>
      <c r="M54" s="37"/>
      <c r="N54" s="60"/>
      <c r="O54" s="39"/>
      <c r="P54" s="38"/>
      <c r="Q54" s="38"/>
      <c r="R54" s="38"/>
      <c r="S54" s="74"/>
      <c r="T54" s="53"/>
      <c r="U54" s="53"/>
    </row>
    <row r="55" spans="1:21" s="1" customFormat="1" ht="13.15" x14ac:dyDescent="0.35">
      <c r="A55" s="10"/>
      <c r="B55" s="37"/>
      <c r="C55" s="37"/>
      <c r="D55" s="38"/>
      <c r="E55" s="39"/>
      <c r="F55" s="39"/>
      <c r="G55" s="37"/>
      <c r="H55" s="40"/>
      <c r="I55" s="39"/>
      <c r="J55" s="37"/>
      <c r="K55" s="38"/>
      <c r="L55" s="39"/>
      <c r="M55" s="37"/>
      <c r="N55" s="60"/>
      <c r="O55" s="39"/>
      <c r="P55" s="38"/>
      <c r="Q55" s="38"/>
      <c r="R55" s="38"/>
      <c r="S55" s="74"/>
      <c r="T55" s="53"/>
      <c r="U55" s="53"/>
    </row>
    <row r="56" spans="1:21" s="1" customFormat="1" ht="13.15" x14ac:dyDescent="0.35">
      <c r="A56" s="10"/>
      <c r="B56" s="37"/>
      <c r="C56" s="37"/>
      <c r="D56" s="38"/>
      <c r="E56" s="39"/>
      <c r="F56" s="39"/>
      <c r="G56" s="37"/>
      <c r="H56" s="40"/>
      <c r="I56" s="39"/>
      <c r="J56" s="37"/>
      <c r="K56" s="38"/>
      <c r="L56" s="39"/>
      <c r="M56" s="37"/>
      <c r="N56" s="60"/>
      <c r="O56" s="39"/>
      <c r="P56" s="38"/>
      <c r="Q56" s="38"/>
      <c r="R56" s="38"/>
      <c r="S56" s="74"/>
      <c r="T56" s="53"/>
      <c r="U56" s="53"/>
    </row>
    <row r="57" spans="1:21" s="1" customFormat="1" ht="13.15" x14ac:dyDescent="0.35">
      <c r="A57" s="10"/>
      <c r="B57" s="37"/>
      <c r="C57" s="37"/>
      <c r="D57" s="38"/>
      <c r="E57" s="39"/>
      <c r="F57" s="39"/>
      <c r="G57" s="37"/>
      <c r="H57" s="40"/>
      <c r="I57" s="39"/>
      <c r="J57" s="37"/>
      <c r="K57" s="38"/>
      <c r="L57" s="39"/>
      <c r="M57" s="37"/>
      <c r="N57" s="60"/>
      <c r="O57" s="39"/>
      <c r="P57" s="38"/>
      <c r="Q57" s="38"/>
      <c r="R57" s="38"/>
      <c r="S57" s="74"/>
      <c r="T57" s="53"/>
      <c r="U57" s="53"/>
    </row>
    <row r="58" spans="1:21" s="1" customFormat="1" ht="13.15" x14ac:dyDescent="0.35">
      <c r="A58" s="10"/>
      <c r="B58" s="37"/>
      <c r="C58" s="37"/>
      <c r="D58" s="38"/>
      <c r="E58" s="39"/>
      <c r="F58" s="39"/>
      <c r="G58" s="37"/>
      <c r="H58" s="40"/>
      <c r="I58" s="39"/>
      <c r="J58" s="37"/>
      <c r="K58" s="38"/>
      <c r="L58" s="39"/>
      <c r="M58" s="37"/>
      <c r="N58" s="60"/>
      <c r="O58" s="39"/>
      <c r="P58" s="38"/>
      <c r="Q58" s="38"/>
      <c r="R58" s="38"/>
      <c r="S58" s="74"/>
      <c r="T58" s="53"/>
      <c r="U58" s="53"/>
    </row>
    <row r="59" spans="1:21" s="1" customFormat="1" ht="84.75" customHeight="1" x14ac:dyDescent="0.35">
      <c r="A59" s="10"/>
      <c r="B59" s="37"/>
      <c r="C59" s="37"/>
      <c r="D59" s="38"/>
      <c r="E59" s="39"/>
      <c r="F59" s="39"/>
      <c r="G59" s="37"/>
      <c r="H59" s="40"/>
      <c r="I59" s="39"/>
      <c r="J59" s="37"/>
      <c r="K59" s="38"/>
      <c r="L59" s="39"/>
      <c r="M59" s="37"/>
      <c r="N59" s="60"/>
      <c r="O59" s="39"/>
      <c r="P59" s="38"/>
      <c r="Q59" s="38"/>
      <c r="R59" s="38"/>
      <c r="S59" s="74"/>
      <c r="T59" s="53"/>
      <c r="U59" s="53"/>
    </row>
    <row r="60" spans="1:21" s="1" customFormat="1" ht="13.15" x14ac:dyDescent="0.35">
      <c r="A60" s="10"/>
      <c r="B60" s="37"/>
      <c r="C60" s="37"/>
      <c r="D60" s="38"/>
      <c r="E60" s="39"/>
      <c r="F60" s="39"/>
      <c r="G60" s="37"/>
      <c r="H60" s="40"/>
      <c r="I60" s="39"/>
      <c r="J60" s="37"/>
      <c r="K60" s="38"/>
      <c r="L60" s="39"/>
      <c r="M60" s="37"/>
      <c r="N60" s="60"/>
      <c r="O60" s="39"/>
      <c r="P60" s="38"/>
      <c r="Q60" s="38"/>
      <c r="R60" s="38"/>
      <c r="S60" s="74"/>
      <c r="T60" s="53"/>
      <c r="U60" s="53"/>
    </row>
    <row r="61" spans="1:21" s="1" customFormat="1" ht="13.15" x14ac:dyDescent="0.35">
      <c r="A61" s="10"/>
      <c r="B61" s="37"/>
      <c r="C61" s="37"/>
      <c r="D61" s="38"/>
      <c r="E61" s="39"/>
      <c r="F61" s="39"/>
      <c r="G61" s="37"/>
      <c r="H61" s="40"/>
      <c r="I61" s="39"/>
      <c r="J61" s="37"/>
      <c r="K61" s="38"/>
      <c r="L61" s="39"/>
      <c r="M61" s="37"/>
      <c r="N61" s="60"/>
      <c r="O61" s="39"/>
      <c r="P61" s="38"/>
      <c r="Q61" s="38"/>
      <c r="R61" s="38"/>
      <c r="S61" s="74"/>
      <c r="T61" s="53"/>
      <c r="U61" s="53"/>
    </row>
    <row r="62" spans="1:21" s="1" customFormat="1" ht="13.15" x14ac:dyDescent="0.35">
      <c r="A62" s="10"/>
      <c r="B62" s="37"/>
      <c r="C62" s="37"/>
      <c r="D62" s="38"/>
      <c r="E62" s="39"/>
      <c r="F62" s="39"/>
      <c r="G62" s="37"/>
      <c r="H62" s="40"/>
      <c r="I62" s="39"/>
      <c r="J62" s="37"/>
      <c r="K62" s="38"/>
      <c r="L62" s="39"/>
      <c r="M62" s="37"/>
      <c r="N62" s="60"/>
      <c r="O62" s="39"/>
      <c r="P62" s="38"/>
      <c r="Q62" s="38"/>
      <c r="R62" s="38"/>
      <c r="S62" s="74"/>
      <c r="T62" s="53"/>
      <c r="U62" s="53"/>
    </row>
    <row r="63" spans="1:21" s="1" customFormat="1" ht="13.15" x14ac:dyDescent="0.35">
      <c r="A63" s="10"/>
      <c r="B63" s="37"/>
      <c r="C63" s="37"/>
      <c r="D63" s="38"/>
      <c r="E63" s="39"/>
      <c r="F63" s="39"/>
      <c r="G63" s="37"/>
      <c r="H63" s="40"/>
      <c r="I63" s="39"/>
      <c r="J63" s="37"/>
      <c r="K63" s="38"/>
      <c r="L63" s="39"/>
      <c r="M63" s="37"/>
      <c r="N63" s="60"/>
      <c r="O63" s="39"/>
      <c r="P63" s="38"/>
      <c r="Q63" s="38"/>
      <c r="R63" s="38"/>
      <c r="S63" s="74"/>
      <c r="T63" s="53"/>
      <c r="U63" s="53"/>
    </row>
    <row r="64" spans="1:21" s="1" customFormat="1" ht="13.15" x14ac:dyDescent="0.35">
      <c r="A64" s="10"/>
      <c r="B64" s="37"/>
      <c r="C64" s="37"/>
      <c r="D64" s="38"/>
      <c r="E64" s="39"/>
      <c r="F64" s="39"/>
      <c r="G64" s="37"/>
      <c r="H64" s="40"/>
      <c r="I64" s="39"/>
      <c r="J64" s="37"/>
      <c r="K64" s="38"/>
      <c r="L64" s="39"/>
      <c r="M64" s="37"/>
      <c r="N64" s="60"/>
      <c r="O64" s="39"/>
      <c r="P64" s="38"/>
      <c r="Q64" s="38"/>
      <c r="R64" s="38"/>
      <c r="S64" s="74"/>
      <c r="T64" s="53"/>
      <c r="U64" s="53"/>
    </row>
    <row r="65" spans="1:21" s="1" customFormat="1" ht="13.15" x14ac:dyDescent="0.35">
      <c r="A65" s="10"/>
      <c r="B65" s="37"/>
      <c r="C65" s="37"/>
      <c r="D65" s="38"/>
      <c r="E65" s="39"/>
      <c r="F65" s="39"/>
      <c r="G65" s="37"/>
      <c r="H65" s="40"/>
      <c r="I65" s="39"/>
      <c r="J65" s="37"/>
      <c r="K65" s="38"/>
      <c r="L65" s="39"/>
      <c r="M65" s="37"/>
      <c r="N65" s="60"/>
      <c r="O65" s="39"/>
      <c r="P65" s="38"/>
      <c r="Q65" s="38"/>
      <c r="R65" s="38"/>
      <c r="S65" s="74"/>
      <c r="T65" s="53"/>
      <c r="U65" s="53"/>
    </row>
    <row r="66" spans="1:21" s="1" customFormat="1" ht="13.15" x14ac:dyDescent="0.35">
      <c r="A66" s="10"/>
      <c r="B66" s="37"/>
      <c r="C66" s="37"/>
      <c r="D66" s="38"/>
      <c r="E66" s="39"/>
      <c r="F66" s="39"/>
      <c r="G66" s="37"/>
      <c r="H66" s="40"/>
      <c r="I66" s="39"/>
      <c r="J66" s="37"/>
      <c r="K66" s="38"/>
      <c r="L66" s="39"/>
      <c r="M66" s="37"/>
      <c r="N66" s="60"/>
      <c r="O66" s="39"/>
      <c r="P66" s="38"/>
      <c r="Q66" s="38"/>
      <c r="R66" s="38"/>
      <c r="S66" s="74"/>
      <c r="T66" s="53"/>
      <c r="U66" s="53"/>
    </row>
    <row r="67" spans="1:21" s="1" customFormat="1" ht="13.15" x14ac:dyDescent="0.35">
      <c r="A67" s="10"/>
      <c r="B67" s="37"/>
      <c r="C67" s="37"/>
      <c r="D67" s="38"/>
      <c r="E67" s="39"/>
      <c r="F67" s="39"/>
      <c r="G67" s="37"/>
      <c r="H67" s="40"/>
      <c r="I67" s="39"/>
      <c r="J67" s="37"/>
      <c r="K67" s="38"/>
      <c r="L67" s="39"/>
      <c r="M67" s="37"/>
      <c r="N67" s="60"/>
      <c r="O67" s="39"/>
      <c r="P67" s="38"/>
      <c r="Q67" s="38"/>
      <c r="R67" s="38"/>
      <c r="S67" s="74"/>
      <c r="T67" s="53"/>
      <c r="U67" s="53"/>
    </row>
    <row r="68" spans="1:21" s="1" customFormat="1" ht="13.15" x14ac:dyDescent="0.35">
      <c r="A68" s="10"/>
      <c r="B68" s="37"/>
      <c r="C68" s="37"/>
      <c r="D68" s="38"/>
      <c r="E68" s="39"/>
      <c r="F68" s="39"/>
      <c r="G68" s="37"/>
      <c r="H68" s="40"/>
      <c r="I68" s="39"/>
      <c r="J68" s="37"/>
      <c r="K68" s="38"/>
      <c r="L68" s="39"/>
      <c r="M68" s="37"/>
      <c r="N68" s="60"/>
      <c r="O68" s="39"/>
      <c r="P68" s="38"/>
      <c r="Q68" s="38"/>
      <c r="R68" s="38"/>
      <c r="S68" s="74"/>
      <c r="T68" s="53"/>
      <c r="U68" s="53"/>
    </row>
    <row r="69" spans="1:21" s="1" customFormat="1" ht="69" customHeight="1" x14ac:dyDescent="0.35">
      <c r="A69" s="10"/>
      <c r="B69" s="37"/>
      <c r="C69" s="37"/>
      <c r="D69" s="38"/>
      <c r="E69" s="39"/>
      <c r="F69" s="39"/>
      <c r="G69" s="37"/>
      <c r="H69" s="40"/>
      <c r="I69" s="39"/>
      <c r="J69" s="37"/>
      <c r="K69" s="38"/>
      <c r="L69" s="39"/>
      <c r="M69" s="37"/>
      <c r="N69" s="60"/>
      <c r="O69" s="39"/>
      <c r="P69" s="38"/>
      <c r="Q69" s="38"/>
      <c r="R69" s="38"/>
      <c r="S69" s="74"/>
      <c r="T69" s="53"/>
      <c r="U69" s="53"/>
    </row>
    <row r="70" spans="1:21" s="1" customFormat="1" ht="13.15" x14ac:dyDescent="0.35">
      <c r="A70" s="10"/>
      <c r="B70" s="37"/>
      <c r="C70" s="37"/>
      <c r="D70" s="38"/>
      <c r="E70" s="39"/>
      <c r="F70" s="39"/>
      <c r="G70" s="37"/>
      <c r="H70" s="40"/>
      <c r="I70" s="39"/>
      <c r="J70" s="37"/>
      <c r="K70" s="38"/>
      <c r="L70" s="39"/>
      <c r="M70" s="37"/>
      <c r="N70" s="60"/>
      <c r="O70" s="39"/>
      <c r="P70" s="38"/>
      <c r="Q70" s="38"/>
      <c r="R70" s="38"/>
      <c r="S70" s="74"/>
      <c r="T70" s="53"/>
      <c r="U70" s="53"/>
    </row>
    <row r="71" spans="1:21" s="1" customFormat="1" ht="13.15" x14ac:dyDescent="0.35">
      <c r="A71" s="10"/>
      <c r="B71" s="37"/>
      <c r="C71" s="37"/>
      <c r="D71" s="85"/>
      <c r="E71" s="39"/>
      <c r="F71" s="39"/>
      <c r="G71" s="37"/>
      <c r="H71" s="40"/>
      <c r="I71" s="86"/>
      <c r="J71" s="37"/>
      <c r="K71" s="38"/>
      <c r="L71" s="39"/>
      <c r="M71" s="37"/>
      <c r="N71" s="60"/>
      <c r="O71" s="39"/>
      <c r="P71" s="38"/>
      <c r="Q71" s="38"/>
      <c r="R71" s="38"/>
      <c r="S71" s="74"/>
      <c r="T71" s="53"/>
      <c r="U71" s="53"/>
    </row>
    <row r="72" spans="1:21" s="1" customFormat="1" ht="93" customHeight="1" x14ac:dyDescent="0.35">
      <c r="A72" s="10"/>
      <c r="B72" s="37"/>
      <c r="C72" s="37"/>
      <c r="D72" s="38"/>
      <c r="E72" s="39"/>
      <c r="F72" s="39"/>
      <c r="G72" s="37"/>
      <c r="H72" s="40"/>
      <c r="I72" s="39"/>
      <c r="J72" s="37"/>
      <c r="K72" s="38"/>
      <c r="L72" s="39"/>
      <c r="M72" s="37"/>
      <c r="N72" s="60"/>
      <c r="O72" s="39"/>
      <c r="P72" s="87"/>
      <c r="Q72" s="87"/>
      <c r="R72" s="87"/>
      <c r="S72" s="74"/>
      <c r="T72" s="53"/>
      <c r="U72" s="53"/>
    </row>
    <row r="73" spans="1:21" s="1" customFormat="1" ht="68.25" customHeight="1" x14ac:dyDescent="0.35">
      <c r="A73" s="10"/>
      <c r="B73" s="37"/>
      <c r="C73" s="37"/>
      <c r="D73" s="38"/>
      <c r="E73" s="39"/>
      <c r="F73" s="39"/>
      <c r="G73" s="37"/>
      <c r="H73" s="40"/>
      <c r="I73" s="39"/>
      <c r="J73" s="37"/>
      <c r="K73" s="38"/>
      <c r="L73" s="39"/>
      <c r="M73" s="37"/>
      <c r="N73" s="60"/>
      <c r="O73" s="39"/>
      <c r="P73" s="87"/>
      <c r="Q73" s="87"/>
      <c r="R73" s="87"/>
      <c r="S73" s="74"/>
      <c r="T73" s="53"/>
      <c r="U73" s="53"/>
    </row>
    <row r="74" spans="1:21" s="1" customFormat="1" ht="180" customHeight="1" x14ac:dyDescent="0.35">
      <c r="A74" s="10"/>
      <c r="B74" s="37"/>
      <c r="C74" s="37"/>
      <c r="D74" s="38"/>
      <c r="E74" s="39"/>
      <c r="F74" s="39"/>
      <c r="G74" s="37"/>
      <c r="H74" s="40"/>
      <c r="I74" s="39"/>
      <c r="J74" s="37"/>
      <c r="K74" s="38"/>
      <c r="L74" s="39"/>
      <c r="M74" s="37"/>
      <c r="N74" s="60"/>
      <c r="O74" s="39"/>
      <c r="P74" s="38"/>
      <c r="Q74" s="38"/>
      <c r="R74" s="38"/>
      <c r="S74" s="74"/>
      <c r="T74" s="53"/>
      <c r="U74" s="53"/>
    </row>
    <row r="75" spans="1:21" s="1" customFormat="1" ht="13.15" x14ac:dyDescent="0.35">
      <c r="A75" s="10"/>
      <c r="B75" s="37"/>
      <c r="C75" s="37"/>
      <c r="D75" s="38"/>
      <c r="E75" s="39"/>
      <c r="F75" s="39"/>
      <c r="G75" s="37"/>
      <c r="H75" s="40"/>
      <c r="I75" s="39"/>
      <c r="J75" s="37"/>
      <c r="K75" s="38"/>
      <c r="L75" s="39"/>
      <c r="M75" s="37"/>
      <c r="N75" s="60"/>
      <c r="O75" s="39"/>
      <c r="P75" s="38"/>
      <c r="Q75" s="38"/>
      <c r="R75" s="38"/>
      <c r="S75" s="74"/>
      <c r="T75" s="53"/>
      <c r="U75" s="53"/>
    </row>
    <row r="76" spans="1:21" s="1" customFormat="1" ht="71.25" customHeight="1" x14ac:dyDescent="0.35">
      <c r="A76" s="10"/>
      <c r="B76" s="37"/>
      <c r="C76" s="37"/>
      <c r="D76" s="38"/>
      <c r="E76" s="39"/>
      <c r="F76" s="39"/>
      <c r="G76" s="37"/>
      <c r="H76" s="40"/>
      <c r="I76" s="39"/>
      <c r="J76" s="37"/>
      <c r="K76" s="38"/>
      <c r="L76" s="39"/>
      <c r="M76" s="37"/>
      <c r="N76" s="60"/>
      <c r="O76" s="39"/>
      <c r="P76" s="87"/>
      <c r="Q76" s="87"/>
      <c r="R76" s="87"/>
      <c r="S76" s="74"/>
      <c r="T76" s="53"/>
      <c r="U76" s="53"/>
    </row>
    <row r="77" spans="1:21" s="1" customFormat="1" ht="13.15" x14ac:dyDescent="0.35">
      <c r="A77" s="10"/>
      <c r="B77" s="37"/>
      <c r="C77" s="37"/>
      <c r="D77" s="38"/>
      <c r="E77" s="39"/>
      <c r="F77" s="39"/>
      <c r="G77" s="37"/>
      <c r="H77" s="40"/>
      <c r="I77" s="39"/>
      <c r="J77" s="37"/>
      <c r="K77" s="38"/>
      <c r="L77" s="39"/>
      <c r="M77" s="37"/>
      <c r="N77" s="60"/>
      <c r="O77" s="39"/>
      <c r="P77" s="38"/>
      <c r="Q77" s="38"/>
      <c r="R77" s="38"/>
      <c r="S77" s="74"/>
      <c r="T77" s="53"/>
      <c r="U77" s="53"/>
    </row>
    <row r="78" spans="1:21" s="1" customFormat="1" ht="84" customHeight="1" x14ac:dyDescent="0.35">
      <c r="A78" s="10"/>
      <c r="B78" s="37"/>
      <c r="C78" s="37"/>
      <c r="D78" s="38"/>
      <c r="E78" s="86"/>
      <c r="F78" s="39"/>
      <c r="G78" s="37"/>
      <c r="H78" s="40"/>
      <c r="I78" s="39"/>
      <c r="J78" s="37"/>
      <c r="K78" s="38"/>
      <c r="L78" s="39"/>
      <c r="M78" s="37"/>
      <c r="N78" s="60"/>
      <c r="O78" s="39"/>
      <c r="P78" s="88"/>
      <c r="Q78" s="88"/>
      <c r="R78" s="88"/>
      <c r="S78" s="74"/>
      <c r="T78" s="53"/>
      <c r="U78" s="53"/>
    </row>
    <row r="79" spans="1:21" s="1" customFormat="1" ht="13.15" x14ac:dyDescent="0.35">
      <c r="A79" s="10"/>
      <c r="B79" s="37"/>
      <c r="C79" s="37"/>
      <c r="D79" s="38"/>
      <c r="E79" s="39"/>
      <c r="F79" s="39"/>
      <c r="G79" s="37"/>
      <c r="H79" s="40"/>
      <c r="I79" s="39"/>
      <c r="J79" s="37"/>
      <c r="K79" s="38"/>
      <c r="L79" s="39"/>
      <c r="M79" s="37"/>
      <c r="N79" s="60"/>
      <c r="O79" s="39"/>
      <c r="P79" s="38"/>
      <c r="Q79" s="38"/>
      <c r="R79" s="38"/>
      <c r="S79" s="74"/>
      <c r="T79" s="53"/>
      <c r="U79" s="53"/>
    </row>
    <row r="80" spans="1:21" s="1" customFormat="1" ht="69.75" customHeight="1" x14ac:dyDescent="0.35">
      <c r="A80" s="10"/>
      <c r="B80" s="37"/>
      <c r="C80" s="37"/>
      <c r="D80" s="38"/>
      <c r="E80" s="39"/>
      <c r="F80" s="39"/>
      <c r="G80" s="37"/>
      <c r="H80" s="40"/>
      <c r="I80" s="39"/>
      <c r="J80" s="37"/>
      <c r="K80" s="38"/>
      <c r="L80" s="39"/>
      <c r="M80" s="37"/>
      <c r="N80" s="60"/>
      <c r="O80" s="39"/>
      <c r="P80" s="88"/>
      <c r="Q80" s="88"/>
      <c r="R80" s="88"/>
      <c r="S80" s="74"/>
      <c r="T80" s="53"/>
      <c r="U80" s="53"/>
    </row>
    <row r="81" spans="1:21" s="1" customFormat="1" ht="13.15" x14ac:dyDescent="0.35">
      <c r="A81" s="10"/>
      <c r="B81" s="37"/>
      <c r="C81" s="37"/>
      <c r="D81" s="38"/>
      <c r="E81" s="39"/>
      <c r="F81" s="39"/>
      <c r="G81" s="37"/>
      <c r="H81" s="40"/>
      <c r="I81" s="39"/>
      <c r="J81" s="37"/>
      <c r="K81" s="38"/>
      <c r="L81" s="39"/>
      <c r="M81" s="37"/>
      <c r="N81" s="60"/>
      <c r="O81" s="39"/>
      <c r="P81" s="38"/>
      <c r="Q81" s="38"/>
      <c r="R81" s="38"/>
      <c r="S81" s="74"/>
      <c r="T81" s="53"/>
      <c r="U81" s="53"/>
    </row>
    <row r="82" spans="1:21" s="1" customFormat="1" ht="72.75" customHeight="1" x14ac:dyDescent="0.35">
      <c r="A82" s="10"/>
      <c r="B82" s="37"/>
      <c r="C82" s="37"/>
      <c r="D82" s="38"/>
      <c r="E82" s="39"/>
      <c r="F82" s="39"/>
      <c r="G82" s="37"/>
      <c r="H82" s="40"/>
      <c r="I82" s="39"/>
      <c r="J82" s="37"/>
      <c r="K82" s="38"/>
      <c r="L82" s="39"/>
      <c r="M82" s="37"/>
      <c r="N82" s="60"/>
      <c r="O82" s="39"/>
      <c r="P82" s="38"/>
      <c r="Q82" s="38"/>
      <c r="R82" s="38"/>
      <c r="S82" s="74"/>
      <c r="T82" s="53"/>
      <c r="U82" s="53"/>
    </row>
    <row r="83" spans="1:21" s="1" customFormat="1" ht="68.25" customHeight="1" x14ac:dyDescent="0.35">
      <c r="A83" s="10"/>
      <c r="B83" s="37"/>
      <c r="C83" s="37"/>
      <c r="D83" s="38"/>
      <c r="E83" s="39"/>
      <c r="F83" s="39"/>
      <c r="G83" s="37"/>
      <c r="H83" s="40"/>
      <c r="I83" s="39"/>
      <c r="J83" s="37"/>
      <c r="K83" s="38"/>
      <c r="L83" s="39"/>
      <c r="M83" s="37"/>
      <c r="N83" s="60"/>
      <c r="O83" s="39"/>
      <c r="P83" s="89"/>
      <c r="Q83" s="89"/>
      <c r="R83" s="89"/>
      <c r="S83" s="74"/>
      <c r="T83" s="53"/>
      <c r="U83" s="53"/>
    </row>
    <row r="84" spans="1:21" s="1" customFormat="1" ht="63.75" customHeight="1" x14ac:dyDescent="0.35">
      <c r="A84" s="10"/>
      <c r="B84" s="37"/>
      <c r="C84" s="37"/>
      <c r="D84" s="38"/>
      <c r="E84" s="39"/>
      <c r="F84" s="39"/>
      <c r="G84" s="37"/>
      <c r="H84" s="40"/>
      <c r="I84" s="39"/>
      <c r="J84" s="37"/>
      <c r="K84" s="38"/>
      <c r="L84" s="39"/>
      <c r="M84" s="37"/>
      <c r="N84" s="60"/>
      <c r="O84" s="39"/>
      <c r="P84" s="38"/>
      <c r="Q84" s="38"/>
      <c r="R84" s="38"/>
      <c r="S84" s="74"/>
      <c r="T84" s="53"/>
      <c r="U84" s="53"/>
    </row>
    <row r="85" spans="1:21" s="1" customFormat="1" ht="13.15" x14ac:dyDescent="0.35">
      <c r="A85" s="10"/>
      <c r="B85" s="37"/>
      <c r="C85" s="37"/>
      <c r="D85" s="38"/>
      <c r="E85" s="39"/>
      <c r="F85" s="39"/>
      <c r="G85" s="37"/>
      <c r="H85" s="40"/>
      <c r="I85" s="39"/>
      <c r="J85" s="37"/>
      <c r="K85" s="38"/>
      <c r="L85" s="39"/>
      <c r="M85" s="37"/>
      <c r="N85" s="60"/>
      <c r="O85" s="39"/>
      <c r="P85" s="89"/>
      <c r="Q85" s="89"/>
      <c r="R85" s="89"/>
      <c r="S85" s="74"/>
      <c r="T85" s="53"/>
      <c r="U85" s="53"/>
    </row>
    <row r="86" spans="1:21" s="1" customFormat="1" ht="113.25" customHeight="1" x14ac:dyDescent="0.35">
      <c r="A86" s="10"/>
      <c r="B86" s="37"/>
      <c r="C86" s="37"/>
      <c r="D86" s="38"/>
      <c r="E86" s="39"/>
      <c r="F86" s="39"/>
      <c r="G86" s="37"/>
      <c r="H86" s="40"/>
      <c r="I86" s="39"/>
      <c r="J86" s="37"/>
      <c r="K86" s="38"/>
      <c r="L86" s="39"/>
      <c r="M86" s="37"/>
      <c r="N86" s="60"/>
      <c r="O86" s="39"/>
      <c r="P86" s="38"/>
      <c r="Q86" s="38"/>
      <c r="R86" s="38"/>
      <c r="S86" s="74"/>
      <c r="T86" s="53"/>
      <c r="U86" s="53"/>
    </row>
    <row r="87" spans="1:21" s="1" customFormat="1" ht="59.25" customHeight="1" x14ac:dyDescent="0.35">
      <c r="A87" s="10"/>
      <c r="B87" s="37"/>
      <c r="C87" s="37"/>
      <c r="D87" s="38"/>
      <c r="E87" s="39"/>
      <c r="F87" s="39"/>
      <c r="G87" s="37"/>
      <c r="H87" s="40"/>
      <c r="I87" s="39"/>
      <c r="J87" s="37"/>
      <c r="K87" s="38"/>
      <c r="L87" s="39"/>
      <c r="M87" s="37"/>
      <c r="N87" s="60"/>
      <c r="O87" s="39"/>
      <c r="P87" s="38"/>
      <c r="Q87" s="38"/>
      <c r="R87" s="38"/>
      <c r="S87" s="74"/>
      <c r="T87" s="53"/>
      <c r="U87" s="53"/>
    </row>
    <row r="88" spans="1:21" s="1" customFormat="1" ht="53.25" customHeight="1" x14ac:dyDescent="0.35">
      <c r="A88" s="10"/>
      <c r="B88" s="37"/>
      <c r="C88" s="37"/>
      <c r="D88" s="38"/>
      <c r="E88" s="39"/>
      <c r="F88" s="39"/>
      <c r="G88" s="37"/>
      <c r="H88" s="40"/>
      <c r="I88" s="39"/>
      <c r="J88" s="37"/>
      <c r="K88" s="38"/>
      <c r="L88" s="39"/>
      <c r="M88" s="37"/>
      <c r="N88" s="60"/>
      <c r="O88" s="39"/>
      <c r="P88" s="38"/>
      <c r="Q88" s="38"/>
      <c r="R88" s="38"/>
      <c r="S88" s="74"/>
      <c r="T88" s="53"/>
      <c r="U88" s="53"/>
    </row>
    <row r="89" spans="1:21" s="1" customFormat="1" ht="13.15" x14ac:dyDescent="0.35">
      <c r="A89" s="10"/>
      <c r="B89" s="37"/>
      <c r="C89" s="37"/>
      <c r="D89" s="38"/>
      <c r="E89" s="39"/>
      <c r="F89" s="39"/>
      <c r="G89" s="37"/>
      <c r="H89" s="40"/>
      <c r="I89" s="39"/>
      <c r="J89" s="37"/>
      <c r="K89" s="38"/>
      <c r="L89" s="39"/>
      <c r="M89" s="37"/>
      <c r="N89" s="60"/>
      <c r="O89" s="39"/>
      <c r="P89" s="38"/>
      <c r="Q89" s="38"/>
      <c r="R89" s="38"/>
      <c r="S89" s="74"/>
      <c r="T89" s="53"/>
      <c r="U89" s="53"/>
    </row>
    <row r="90" spans="1:21" s="1" customFormat="1" ht="72" customHeight="1" x14ac:dyDescent="0.35">
      <c r="A90" s="10"/>
      <c r="B90" s="37"/>
      <c r="C90" s="37"/>
      <c r="D90" s="38"/>
      <c r="E90" s="39"/>
      <c r="F90" s="39"/>
      <c r="G90" s="37"/>
      <c r="H90" s="40"/>
      <c r="I90" s="39"/>
      <c r="J90" s="37"/>
      <c r="K90" s="85"/>
      <c r="L90" s="39"/>
      <c r="M90" s="37"/>
      <c r="N90" s="60"/>
      <c r="O90" s="39"/>
      <c r="P90" s="38"/>
      <c r="Q90" s="38"/>
      <c r="R90" s="38"/>
      <c r="S90" s="74"/>
      <c r="T90" s="53"/>
      <c r="U90" s="53"/>
    </row>
    <row r="91" spans="1:21" s="1" customFormat="1" ht="68.25" customHeight="1" x14ac:dyDescent="0.35">
      <c r="A91" s="10"/>
      <c r="B91" s="37"/>
      <c r="C91" s="37"/>
      <c r="D91" s="38"/>
      <c r="E91" s="39"/>
      <c r="F91" s="39"/>
      <c r="G91" s="37"/>
      <c r="H91" s="40"/>
      <c r="I91" s="39"/>
      <c r="J91" s="37"/>
      <c r="K91" s="38"/>
      <c r="L91" s="39"/>
      <c r="M91" s="37"/>
      <c r="N91" s="60"/>
      <c r="O91" s="39"/>
      <c r="P91" s="38"/>
      <c r="Q91" s="38"/>
      <c r="R91" s="38"/>
      <c r="S91" s="74"/>
      <c r="T91" s="53"/>
      <c r="U91" s="53"/>
    </row>
    <row r="92" spans="1:21" s="1" customFormat="1" ht="13.15" x14ac:dyDescent="0.35">
      <c r="A92" s="10"/>
      <c r="B92" s="37"/>
      <c r="C92" s="37"/>
      <c r="D92" s="38"/>
      <c r="E92" s="39"/>
      <c r="F92" s="39"/>
      <c r="G92" s="37"/>
      <c r="H92" s="40"/>
      <c r="I92" s="39"/>
      <c r="J92" s="37"/>
      <c r="K92" s="38"/>
      <c r="L92" s="39"/>
      <c r="M92" s="37"/>
      <c r="N92" s="60"/>
      <c r="O92" s="39"/>
      <c r="P92" s="85"/>
      <c r="Q92" s="85"/>
      <c r="R92" s="85"/>
      <c r="S92" s="74"/>
      <c r="T92" s="53"/>
      <c r="U92" s="53"/>
    </row>
    <row r="93" spans="1:21" s="1" customFormat="1" ht="13.15" x14ac:dyDescent="0.35">
      <c r="A93" s="10"/>
      <c r="B93" s="37"/>
      <c r="C93" s="37"/>
      <c r="D93" s="38"/>
      <c r="E93" s="39"/>
      <c r="F93" s="86"/>
      <c r="G93" s="37"/>
      <c r="H93" s="40"/>
      <c r="I93" s="39"/>
      <c r="J93" s="37"/>
      <c r="K93" s="38"/>
      <c r="L93" s="39"/>
      <c r="M93" s="37"/>
      <c r="N93" s="60"/>
      <c r="O93" s="39"/>
      <c r="P93" s="38"/>
      <c r="Q93" s="38"/>
      <c r="R93" s="38"/>
      <c r="S93" s="74"/>
      <c r="T93" s="53"/>
      <c r="U93" s="53"/>
    </row>
    <row r="94" spans="1:21" s="1" customFormat="1" ht="51" customHeight="1" x14ac:dyDescent="0.35">
      <c r="A94" s="10"/>
      <c r="B94" s="37"/>
      <c r="C94" s="37"/>
      <c r="D94" s="38"/>
      <c r="E94" s="39"/>
      <c r="F94" s="39"/>
      <c r="G94" s="37"/>
      <c r="H94" s="40"/>
      <c r="I94" s="39"/>
      <c r="J94" s="37"/>
      <c r="K94" s="38"/>
      <c r="L94" s="39"/>
      <c r="M94" s="37"/>
      <c r="N94" s="60"/>
      <c r="O94" s="39"/>
      <c r="P94" s="38"/>
      <c r="Q94" s="38"/>
      <c r="R94" s="38"/>
      <c r="S94" s="74"/>
      <c r="T94" s="53"/>
      <c r="U94" s="53"/>
    </row>
    <row r="95" spans="1:21" s="1" customFormat="1" ht="13.15" x14ac:dyDescent="0.35">
      <c r="A95" s="10"/>
      <c r="B95" s="37"/>
      <c r="C95" s="37"/>
      <c r="D95" s="38"/>
      <c r="E95" s="39"/>
      <c r="F95" s="39"/>
      <c r="G95" s="37"/>
      <c r="H95" s="40"/>
      <c r="I95" s="39"/>
      <c r="J95" s="37"/>
      <c r="K95" s="38"/>
      <c r="L95" s="39"/>
      <c r="M95" s="37"/>
      <c r="N95" s="60"/>
      <c r="O95" s="39"/>
      <c r="P95" s="38"/>
      <c r="Q95" s="38"/>
      <c r="R95" s="38"/>
      <c r="S95" s="74"/>
      <c r="T95" s="53"/>
      <c r="U95" s="53"/>
    </row>
    <row r="96" spans="1:21" s="1" customFormat="1" ht="13.15" x14ac:dyDescent="0.35">
      <c r="A96" s="10"/>
      <c r="B96" s="37"/>
      <c r="C96" s="37"/>
      <c r="D96" s="38"/>
      <c r="E96" s="39"/>
      <c r="F96" s="39"/>
      <c r="G96" s="37"/>
      <c r="H96" s="40"/>
      <c r="I96" s="39"/>
      <c r="J96" s="37"/>
      <c r="K96" s="38"/>
      <c r="L96" s="39"/>
      <c r="M96" s="37"/>
      <c r="N96" s="60"/>
      <c r="O96" s="39"/>
      <c r="P96" s="38"/>
      <c r="Q96" s="38"/>
      <c r="R96" s="38"/>
      <c r="S96" s="74"/>
      <c r="T96" s="53"/>
      <c r="U96" s="53"/>
    </row>
    <row r="97" spans="1:21" s="1" customFormat="1" ht="13.15" x14ac:dyDescent="0.35">
      <c r="A97" s="10"/>
      <c r="B97" s="37"/>
      <c r="C97" s="37"/>
      <c r="D97" s="38"/>
      <c r="E97" s="39"/>
      <c r="F97" s="39"/>
      <c r="G97" s="37"/>
      <c r="H97" s="40"/>
      <c r="I97" s="39"/>
      <c r="J97" s="37"/>
      <c r="K97" s="38"/>
      <c r="L97" s="39"/>
      <c r="M97" s="37"/>
      <c r="N97" s="60"/>
      <c r="O97" s="39"/>
      <c r="P97" s="38"/>
      <c r="Q97" s="38"/>
      <c r="R97" s="38"/>
      <c r="S97" s="74"/>
      <c r="T97" s="53"/>
      <c r="U97" s="53"/>
    </row>
    <row r="98" spans="1:21" s="1" customFormat="1" ht="13.15" x14ac:dyDescent="0.35">
      <c r="A98" s="10"/>
      <c r="B98" s="37"/>
      <c r="C98" s="37"/>
      <c r="D98" s="38"/>
      <c r="E98" s="39"/>
      <c r="F98" s="39"/>
      <c r="G98" s="37"/>
      <c r="H98" s="40"/>
      <c r="I98" s="39"/>
      <c r="J98" s="37"/>
      <c r="K98" s="38"/>
      <c r="L98" s="39"/>
      <c r="M98" s="37"/>
      <c r="N98" s="60"/>
      <c r="O98" s="39"/>
      <c r="P98" s="38"/>
      <c r="Q98" s="38"/>
      <c r="R98" s="38"/>
      <c r="S98" s="74"/>
      <c r="T98" s="53"/>
      <c r="U98" s="53"/>
    </row>
    <row r="99" spans="1:21" s="1" customFormat="1" ht="13.15" x14ac:dyDescent="0.35">
      <c r="A99" s="10"/>
      <c r="B99" s="37"/>
      <c r="C99" s="37"/>
      <c r="D99" s="38"/>
      <c r="E99" s="39"/>
      <c r="F99" s="39"/>
      <c r="G99" s="37"/>
      <c r="H99" s="40"/>
      <c r="I99" s="39"/>
      <c r="J99" s="37"/>
      <c r="K99" s="38"/>
      <c r="L99" s="39"/>
      <c r="M99" s="37"/>
      <c r="N99" s="60"/>
      <c r="O99" s="39"/>
      <c r="P99" s="38"/>
      <c r="Q99" s="38"/>
      <c r="R99" s="38"/>
      <c r="S99" s="74"/>
      <c r="T99" s="53"/>
      <c r="U99" s="53"/>
    </row>
    <row r="100" spans="1:21" s="1" customFormat="1" ht="13.15" x14ac:dyDescent="0.35">
      <c r="A100" s="10"/>
      <c r="B100" s="37"/>
      <c r="C100" s="37"/>
      <c r="D100" s="38"/>
      <c r="E100" s="39"/>
      <c r="F100" s="39"/>
      <c r="G100" s="37"/>
      <c r="H100" s="40"/>
      <c r="I100" s="39"/>
      <c r="J100" s="37"/>
      <c r="K100" s="38"/>
      <c r="L100" s="39"/>
      <c r="M100" s="37"/>
      <c r="N100" s="60"/>
      <c r="O100" s="39"/>
      <c r="P100" s="38"/>
      <c r="Q100" s="38"/>
      <c r="R100" s="38"/>
      <c r="S100" s="74"/>
      <c r="T100" s="53"/>
      <c r="U100" s="53"/>
    </row>
    <row r="101" spans="1:21" s="1" customFormat="1" ht="13.15" x14ac:dyDescent="0.35">
      <c r="A101" s="10"/>
      <c r="B101" s="37"/>
      <c r="C101" s="37"/>
      <c r="D101" s="38"/>
      <c r="E101" s="39"/>
      <c r="F101" s="39"/>
      <c r="G101" s="37"/>
      <c r="H101" s="40"/>
      <c r="I101" s="39"/>
      <c r="J101" s="37"/>
      <c r="K101" s="38"/>
      <c r="L101" s="39"/>
      <c r="M101" s="37"/>
      <c r="N101" s="60"/>
      <c r="O101" s="39"/>
      <c r="P101" s="38"/>
      <c r="Q101" s="38"/>
      <c r="R101" s="38"/>
      <c r="S101" s="74"/>
      <c r="T101" s="53"/>
      <c r="U101" s="53"/>
    </row>
    <row r="102" spans="1:21" s="1" customFormat="1" ht="13.15" x14ac:dyDescent="0.35">
      <c r="A102" s="10"/>
      <c r="B102" s="37"/>
      <c r="C102" s="37"/>
      <c r="D102" s="38"/>
      <c r="E102" s="39"/>
      <c r="F102" s="39"/>
      <c r="G102" s="37"/>
      <c r="H102" s="40"/>
      <c r="I102" s="39"/>
      <c r="J102" s="37"/>
      <c r="K102" s="38"/>
      <c r="L102" s="39"/>
      <c r="M102" s="37"/>
      <c r="N102" s="60"/>
      <c r="O102" s="39"/>
      <c r="P102" s="38"/>
      <c r="Q102" s="38"/>
      <c r="R102" s="38"/>
      <c r="S102" s="74"/>
      <c r="T102" s="53"/>
      <c r="U102" s="53"/>
    </row>
    <row r="103" spans="1:21" s="1" customFormat="1" ht="13.15" x14ac:dyDescent="0.35">
      <c r="A103" s="10"/>
      <c r="B103" s="37"/>
      <c r="C103" s="37"/>
      <c r="D103" s="38"/>
      <c r="E103" s="39"/>
      <c r="F103" s="39"/>
      <c r="G103" s="37"/>
      <c r="H103" s="40"/>
      <c r="I103" s="39"/>
      <c r="J103" s="37"/>
      <c r="K103" s="38"/>
      <c r="L103" s="39"/>
      <c r="M103" s="37"/>
      <c r="N103" s="60"/>
      <c r="O103" s="39"/>
      <c r="P103" s="38"/>
      <c r="Q103" s="38"/>
      <c r="R103" s="38"/>
      <c r="S103" s="74"/>
      <c r="T103" s="53"/>
      <c r="U103" s="53"/>
    </row>
    <row r="104" spans="1:21" s="1" customFormat="1" ht="13.15" x14ac:dyDescent="0.35">
      <c r="A104" s="10"/>
      <c r="B104" s="37"/>
      <c r="C104" s="37"/>
      <c r="D104" s="38"/>
      <c r="E104" s="39"/>
      <c r="F104" s="39"/>
      <c r="G104" s="37"/>
      <c r="H104" s="40"/>
      <c r="I104" s="39"/>
      <c r="J104" s="37"/>
      <c r="K104" s="38"/>
      <c r="L104" s="39"/>
      <c r="M104" s="37"/>
      <c r="N104" s="60"/>
      <c r="O104" s="39"/>
      <c r="P104" s="38"/>
      <c r="Q104" s="38"/>
      <c r="R104" s="38"/>
      <c r="S104" s="74"/>
      <c r="T104" s="53"/>
      <c r="U104" s="53"/>
    </row>
    <row r="105" spans="1:21" s="1" customFormat="1" ht="13.15" x14ac:dyDescent="0.35">
      <c r="A105" s="10"/>
      <c r="B105" s="37"/>
      <c r="C105" s="37"/>
      <c r="D105" s="38"/>
      <c r="E105" s="39"/>
      <c r="F105" s="39"/>
      <c r="G105" s="37"/>
      <c r="H105" s="40"/>
      <c r="I105" s="39"/>
      <c r="J105" s="37"/>
      <c r="K105" s="38"/>
      <c r="L105" s="39"/>
      <c r="M105" s="37"/>
      <c r="N105" s="60"/>
      <c r="O105" s="39"/>
      <c r="P105" s="38"/>
      <c r="Q105" s="38"/>
      <c r="R105" s="38"/>
      <c r="S105" s="74"/>
      <c r="T105" s="53"/>
      <c r="U105" s="53"/>
    </row>
    <row r="106" spans="1:21" s="1" customFormat="1" ht="78.75" customHeight="1" x14ac:dyDescent="0.35">
      <c r="A106" s="10"/>
      <c r="B106" s="37"/>
      <c r="C106" s="37"/>
      <c r="D106" s="38"/>
      <c r="E106" s="39"/>
      <c r="F106" s="86"/>
      <c r="G106" s="37"/>
      <c r="H106" s="40"/>
      <c r="I106" s="39"/>
      <c r="J106" s="37"/>
      <c r="K106" s="38"/>
      <c r="L106" s="39"/>
      <c r="M106" s="37"/>
      <c r="N106" s="60"/>
      <c r="O106" s="39"/>
      <c r="P106" s="38"/>
      <c r="Q106" s="38"/>
      <c r="R106" s="38"/>
      <c r="S106" s="74"/>
      <c r="T106" s="53"/>
      <c r="U106" s="53"/>
    </row>
    <row r="107" spans="1:21" s="1" customFormat="1" ht="13.15" x14ac:dyDescent="0.35">
      <c r="A107" s="10"/>
      <c r="B107" s="37"/>
      <c r="C107" s="37"/>
      <c r="D107" s="38"/>
      <c r="E107" s="39"/>
      <c r="F107" s="39"/>
      <c r="G107" s="37"/>
      <c r="H107" s="40"/>
      <c r="I107" s="39"/>
      <c r="J107" s="37"/>
      <c r="K107" s="38"/>
      <c r="L107" s="39"/>
      <c r="M107" s="37"/>
      <c r="N107" s="60"/>
      <c r="O107" s="39"/>
      <c r="P107" s="38"/>
      <c r="Q107" s="38"/>
      <c r="R107" s="38"/>
      <c r="S107" s="74"/>
      <c r="T107" s="53"/>
      <c r="U107" s="53"/>
    </row>
    <row r="108" spans="1:21" s="1" customFormat="1" ht="13.15" x14ac:dyDescent="0.35">
      <c r="A108" s="10"/>
      <c r="B108" s="37"/>
      <c r="C108" s="37"/>
      <c r="D108" s="38"/>
      <c r="E108" s="39"/>
      <c r="F108" s="39"/>
      <c r="G108" s="37"/>
      <c r="H108" s="40"/>
      <c r="I108" s="86"/>
      <c r="J108" s="37"/>
      <c r="K108" s="38"/>
      <c r="L108" s="39"/>
      <c r="M108" s="37"/>
      <c r="N108" s="60"/>
      <c r="O108" s="39"/>
      <c r="P108" s="38"/>
      <c r="Q108" s="38"/>
      <c r="R108" s="38"/>
      <c r="S108" s="74"/>
      <c r="T108" s="53"/>
      <c r="U108" s="53"/>
    </row>
    <row r="109" spans="1:21" s="1" customFormat="1" ht="13.15" x14ac:dyDescent="0.35">
      <c r="A109" s="10"/>
      <c r="B109" s="37"/>
      <c r="C109" s="37"/>
      <c r="D109" s="38"/>
      <c r="E109" s="39"/>
      <c r="F109" s="39"/>
      <c r="G109" s="37"/>
      <c r="H109" s="40"/>
      <c r="I109" s="39"/>
      <c r="J109" s="37"/>
      <c r="K109" s="38"/>
      <c r="L109" s="39"/>
      <c r="M109" s="37"/>
      <c r="N109" s="60"/>
      <c r="O109" s="39"/>
      <c r="P109" s="38"/>
      <c r="Q109" s="38"/>
      <c r="R109" s="38"/>
      <c r="S109" s="74"/>
      <c r="T109" s="53"/>
      <c r="U109" s="53"/>
    </row>
    <row r="110" spans="1:21" s="1" customFormat="1" ht="132.75" customHeight="1" x14ac:dyDescent="0.35">
      <c r="A110" s="10"/>
      <c r="B110" s="37"/>
      <c r="C110" s="37"/>
      <c r="D110" s="38"/>
      <c r="E110" s="39"/>
      <c r="F110" s="39"/>
      <c r="G110" s="37"/>
      <c r="H110" s="40"/>
      <c r="I110" s="86"/>
      <c r="J110" s="37"/>
      <c r="K110" s="38"/>
      <c r="L110" s="86"/>
      <c r="M110" s="37"/>
      <c r="N110" s="60"/>
      <c r="O110" s="39"/>
      <c r="P110" s="38"/>
      <c r="Q110" s="38"/>
      <c r="R110" s="38"/>
      <c r="S110" s="74"/>
      <c r="T110" s="53"/>
      <c r="U110" s="53"/>
    </row>
    <row r="111" spans="1:21" s="1" customFormat="1" ht="13.15" x14ac:dyDescent="0.35">
      <c r="A111" s="10"/>
      <c r="B111" s="37"/>
      <c r="C111" s="37"/>
      <c r="D111" s="38"/>
      <c r="E111" s="39"/>
      <c r="F111" s="39"/>
      <c r="G111" s="37"/>
      <c r="H111" s="40"/>
      <c r="I111" s="39"/>
      <c r="J111" s="37"/>
      <c r="K111" s="38"/>
      <c r="L111" s="39"/>
      <c r="M111" s="37"/>
      <c r="N111" s="60"/>
      <c r="O111" s="39"/>
      <c r="P111" s="38"/>
      <c r="Q111" s="38"/>
      <c r="R111" s="38"/>
      <c r="S111" s="74"/>
      <c r="T111" s="53"/>
      <c r="U111" s="53"/>
    </row>
    <row r="112" spans="1:21" s="1" customFormat="1" ht="158.25" customHeight="1" x14ac:dyDescent="0.35">
      <c r="A112" s="10"/>
      <c r="B112" s="37"/>
      <c r="C112" s="37"/>
      <c r="D112" s="38"/>
      <c r="E112" s="39"/>
      <c r="F112" s="39"/>
      <c r="G112" s="37"/>
      <c r="H112" s="40"/>
      <c r="I112" s="39"/>
      <c r="J112" s="37"/>
      <c r="K112" s="38"/>
      <c r="L112" s="39"/>
      <c r="M112" s="37"/>
      <c r="N112" s="60"/>
      <c r="O112" s="39"/>
      <c r="P112" s="38"/>
      <c r="Q112" s="38"/>
      <c r="R112" s="38"/>
      <c r="S112" s="74"/>
      <c r="T112" s="53"/>
      <c r="U112" s="53"/>
    </row>
    <row r="113" spans="1:21" s="1" customFormat="1" ht="132.75" customHeight="1" x14ac:dyDescent="0.35">
      <c r="A113" s="10"/>
      <c r="B113" s="37"/>
      <c r="C113" s="37"/>
      <c r="D113" s="38"/>
      <c r="E113" s="39"/>
      <c r="F113" s="39"/>
      <c r="G113" s="37"/>
      <c r="H113" s="40"/>
      <c r="I113" s="39"/>
      <c r="J113" s="37"/>
      <c r="K113" s="38"/>
      <c r="L113" s="39"/>
      <c r="M113" s="37"/>
      <c r="N113" s="60"/>
      <c r="O113" s="39"/>
      <c r="P113" s="38"/>
      <c r="Q113" s="38"/>
      <c r="R113" s="38"/>
      <c r="S113" s="74"/>
      <c r="T113" s="53"/>
      <c r="U113" s="53"/>
    </row>
    <row r="114" spans="1:21" s="1" customFormat="1" ht="13.15" x14ac:dyDescent="0.35">
      <c r="A114" s="10"/>
      <c r="B114" s="37"/>
      <c r="C114" s="37"/>
      <c r="D114" s="38"/>
      <c r="E114" s="39"/>
      <c r="F114" s="39"/>
      <c r="G114" s="37"/>
      <c r="H114" s="40"/>
      <c r="I114" s="39"/>
      <c r="J114" s="37"/>
      <c r="K114" s="38"/>
      <c r="L114" s="39"/>
      <c r="M114" s="37"/>
      <c r="N114" s="60"/>
      <c r="O114" s="39"/>
      <c r="P114" s="38"/>
      <c r="Q114" s="38"/>
      <c r="R114" s="38"/>
      <c r="S114" s="74"/>
      <c r="T114" s="53"/>
      <c r="U114" s="53"/>
    </row>
    <row r="115" spans="1:21" s="1" customFormat="1" ht="156.75" customHeight="1" x14ac:dyDescent="0.35">
      <c r="A115" s="10"/>
      <c r="B115" s="37"/>
      <c r="C115" s="37"/>
      <c r="D115" s="38"/>
      <c r="E115" s="39"/>
      <c r="F115" s="39"/>
      <c r="G115" s="37"/>
      <c r="H115" s="40"/>
      <c r="I115" s="86"/>
      <c r="J115" s="37"/>
      <c r="K115" s="38"/>
      <c r="L115" s="86"/>
      <c r="M115" s="37"/>
      <c r="N115" s="60"/>
      <c r="O115" s="39"/>
      <c r="P115" s="38"/>
      <c r="Q115" s="38"/>
      <c r="R115" s="38"/>
      <c r="S115" s="74"/>
      <c r="T115" s="53"/>
      <c r="U115" s="53"/>
    </row>
    <row r="116" spans="1:21" s="1" customFormat="1" ht="105" customHeight="1" x14ac:dyDescent="0.35">
      <c r="A116" s="10"/>
      <c r="B116" s="37"/>
      <c r="C116" s="37"/>
      <c r="D116" s="38"/>
      <c r="E116" s="39"/>
      <c r="F116" s="39"/>
      <c r="G116" s="37"/>
      <c r="H116" s="40"/>
      <c r="I116" s="39"/>
      <c r="J116" s="37"/>
      <c r="K116" s="38"/>
      <c r="L116" s="39"/>
      <c r="M116" s="37"/>
      <c r="N116" s="60"/>
      <c r="O116" s="39"/>
      <c r="P116" s="38"/>
      <c r="Q116" s="38"/>
      <c r="R116" s="38"/>
      <c r="S116" s="74"/>
      <c r="T116" s="53"/>
      <c r="U116" s="53"/>
    </row>
    <row r="117" spans="1:21" s="1" customFormat="1" ht="13.15" x14ac:dyDescent="0.35">
      <c r="A117" s="10"/>
      <c r="B117" s="37"/>
      <c r="C117" s="37"/>
      <c r="D117" s="38"/>
      <c r="E117" s="39"/>
      <c r="F117" s="39"/>
      <c r="G117" s="37"/>
      <c r="H117" s="40"/>
      <c r="I117" s="86"/>
      <c r="J117" s="37"/>
      <c r="K117" s="38"/>
      <c r="L117" s="86"/>
      <c r="M117" s="37"/>
      <c r="N117" s="60"/>
      <c r="O117" s="39"/>
      <c r="P117" s="38"/>
      <c r="Q117" s="38"/>
      <c r="R117" s="38"/>
      <c r="S117" s="74"/>
      <c r="T117" s="53"/>
      <c r="U117" s="53"/>
    </row>
    <row r="118" spans="1:21" s="1" customFormat="1" ht="118.5" customHeight="1" x14ac:dyDescent="0.35">
      <c r="A118" s="10"/>
      <c r="B118" s="37"/>
      <c r="C118" s="37"/>
      <c r="D118" s="38"/>
      <c r="E118" s="39"/>
      <c r="F118" s="39"/>
      <c r="G118" s="37"/>
      <c r="H118" s="40"/>
      <c r="I118" s="39"/>
      <c r="J118" s="37"/>
      <c r="K118" s="38"/>
      <c r="L118" s="39"/>
      <c r="M118" s="37"/>
      <c r="N118" s="60"/>
      <c r="O118" s="39"/>
      <c r="P118" s="38"/>
      <c r="Q118" s="38"/>
      <c r="R118" s="38"/>
      <c r="S118" s="74"/>
      <c r="T118" s="53"/>
      <c r="U118" s="53"/>
    </row>
    <row r="119" spans="1:21" s="1" customFormat="1" ht="95.25" customHeight="1" x14ac:dyDescent="0.35">
      <c r="A119" s="10"/>
      <c r="B119" s="37"/>
      <c r="C119" s="37"/>
      <c r="D119" s="38"/>
      <c r="E119" s="39"/>
      <c r="F119" s="39"/>
      <c r="G119" s="37"/>
      <c r="H119" s="40"/>
      <c r="I119" s="39"/>
      <c r="J119" s="37"/>
      <c r="K119" s="38"/>
      <c r="L119" s="39"/>
      <c r="M119" s="37"/>
      <c r="N119" s="60"/>
      <c r="O119" s="39"/>
      <c r="P119" s="38"/>
      <c r="Q119" s="38"/>
      <c r="R119" s="38"/>
      <c r="S119" s="74"/>
      <c r="T119" s="53"/>
      <c r="U119" s="53"/>
    </row>
    <row r="120" spans="1:21" s="1" customFormat="1" ht="13.15" x14ac:dyDescent="0.35">
      <c r="A120" s="10"/>
      <c r="B120" s="37"/>
      <c r="C120" s="37"/>
      <c r="D120" s="38"/>
      <c r="E120" s="39"/>
      <c r="F120" s="39"/>
      <c r="G120" s="37"/>
      <c r="H120" s="40"/>
      <c r="I120" s="39"/>
      <c r="J120" s="37"/>
      <c r="K120" s="38"/>
      <c r="L120" s="39"/>
      <c r="M120" s="37"/>
      <c r="N120" s="60"/>
      <c r="O120" s="39"/>
      <c r="P120" s="38"/>
      <c r="Q120" s="38"/>
      <c r="R120" s="38"/>
      <c r="S120" s="74"/>
      <c r="T120" s="53"/>
      <c r="U120" s="53"/>
    </row>
    <row r="121" spans="1:21" s="1" customFormat="1" ht="117" customHeight="1" x14ac:dyDescent="0.35">
      <c r="A121" s="10"/>
      <c r="B121" s="37"/>
      <c r="C121" s="37"/>
      <c r="D121" s="38"/>
      <c r="E121" s="39"/>
      <c r="F121" s="39"/>
      <c r="G121" s="37"/>
      <c r="H121" s="40"/>
      <c r="I121" s="39"/>
      <c r="J121" s="37"/>
      <c r="K121" s="38"/>
      <c r="L121" s="39"/>
      <c r="M121" s="37"/>
      <c r="N121" s="60"/>
      <c r="O121" s="39"/>
      <c r="P121" s="38"/>
      <c r="Q121" s="38"/>
      <c r="R121" s="38"/>
      <c r="S121" s="74"/>
      <c r="T121" s="53"/>
      <c r="U121" s="53"/>
    </row>
    <row r="122" spans="1:21" s="1" customFormat="1" ht="90.75" customHeight="1" x14ac:dyDescent="0.35">
      <c r="A122" s="10"/>
      <c r="B122" s="37"/>
      <c r="C122" s="37"/>
      <c r="D122" s="38"/>
      <c r="E122" s="39"/>
      <c r="F122" s="39"/>
      <c r="G122" s="37"/>
      <c r="H122" s="40"/>
      <c r="I122" s="86"/>
      <c r="J122" s="37"/>
      <c r="K122" s="38"/>
      <c r="L122" s="86"/>
      <c r="M122" s="37"/>
      <c r="N122" s="60"/>
      <c r="O122" s="39"/>
      <c r="P122" s="38"/>
      <c r="Q122" s="38"/>
      <c r="R122" s="38"/>
      <c r="S122" s="74"/>
      <c r="T122" s="53"/>
      <c r="U122" s="53"/>
    </row>
    <row r="123" spans="1:21" s="1" customFormat="1" ht="13.15" x14ac:dyDescent="0.35">
      <c r="A123" s="10"/>
      <c r="B123" s="37"/>
      <c r="C123" s="37"/>
      <c r="D123" s="38"/>
      <c r="E123" s="39"/>
      <c r="F123" s="39"/>
      <c r="G123" s="37"/>
      <c r="H123" s="40"/>
      <c r="I123" s="39"/>
      <c r="J123" s="37"/>
      <c r="K123" s="38"/>
      <c r="L123" s="39"/>
      <c r="M123" s="37"/>
      <c r="N123" s="60"/>
      <c r="O123" s="39"/>
      <c r="P123" s="38"/>
      <c r="Q123" s="38"/>
      <c r="R123" s="38"/>
      <c r="S123" s="74"/>
      <c r="T123" s="53"/>
      <c r="U123" s="53"/>
    </row>
    <row r="124" spans="1:21" s="1" customFormat="1" ht="13.15" x14ac:dyDescent="0.35">
      <c r="A124" s="10"/>
      <c r="B124" s="37"/>
      <c r="C124" s="37"/>
      <c r="D124" s="38"/>
      <c r="E124" s="39"/>
      <c r="F124" s="39"/>
      <c r="G124" s="37"/>
      <c r="H124" s="40"/>
      <c r="I124" s="39"/>
      <c r="J124" s="37"/>
      <c r="K124" s="38"/>
      <c r="L124" s="39"/>
      <c r="M124" s="37"/>
      <c r="N124" s="60"/>
      <c r="O124" s="39"/>
      <c r="P124" s="38"/>
      <c r="Q124" s="38"/>
      <c r="R124" s="38"/>
      <c r="S124" s="74"/>
      <c r="T124" s="53"/>
      <c r="U124" s="53"/>
    </row>
    <row r="125" spans="1:21" s="1" customFormat="1" ht="13.15" x14ac:dyDescent="0.35">
      <c r="A125" s="10"/>
      <c r="B125" s="37"/>
      <c r="C125" s="37"/>
      <c r="D125" s="38"/>
      <c r="E125" s="39"/>
      <c r="F125" s="39"/>
      <c r="G125" s="37"/>
      <c r="H125" s="40"/>
      <c r="I125" s="39"/>
      <c r="J125" s="37"/>
      <c r="K125" s="38"/>
      <c r="L125" s="86"/>
      <c r="M125" s="37"/>
      <c r="N125" s="60"/>
      <c r="O125" s="38"/>
      <c r="P125" s="90"/>
      <c r="Q125" s="90"/>
      <c r="R125" s="90"/>
      <c r="S125" s="74"/>
      <c r="T125" s="53"/>
      <c r="U125" s="53"/>
    </row>
    <row r="126" spans="1:21" s="1" customFormat="1" ht="13.15" x14ac:dyDescent="0.35">
      <c r="A126" s="10"/>
      <c r="B126" s="37"/>
      <c r="C126" s="37"/>
      <c r="D126" s="38"/>
      <c r="E126" s="39"/>
      <c r="F126" s="39"/>
      <c r="G126" s="37"/>
      <c r="H126" s="40"/>
      <c r="I126" s="39"/>
      <c r="J126" s="37"/>
      <c r="K126" s="38"/>
      <c r="L126" s="86"/>
      <c r="M126" s="37"/>
      <c r="N126" s="60"/>
      <c r="O126" s="39"/>
      <c r="P126" s="38"/>
      <c r="Q126" s="38"/>
      <c r="R126" s="38"/>
      <c r="S126" s="74"/>
      <c r="T126" s="53"/>
      <c r="U126" s="53"/>
    </row>
    <row r="127" spans="1:21" s="1" customFormat="1" ht="13.15" x14ac:dyDescent="0.35">
      <c r="A127" s="10"/>
      <c r="B127" s="37"/>
      <c r="C127" s="37"/>
      <c r="D127" s="38"/>
      <c r="E127" s="39"/>
      <c r="F127" s="39"/>
      <c r="G127" s="37"/>
      <c r="H127" s="40"/>
      <c r="I127" s="39"/>
      <c r="J127" s="37"/>
      <c r="K127" s="38"/>
      <c r="L127" s="39"/>
      <c r="M127" s="37"/>
      <c r="N127" s="60"/>
      <c r="O127" s="39"/>
      <c r="P127" s="38"/>
      <c r="Q127" s="38"/>
      <c r="R127" s="38"/>
      <c r="S127" s="74"/>
      <c r="T127" s="53"/>
      <c r="U127" s="53"/>
    </row>
    <row r="128" spans="1:21" s="1" customFormat="1" ht="13.15" x14ac:dyDescent="0.35">
      <c r="A128" s="10"/>
      <c r="B128" s="37"/>
      <c r="C128" s="37"/>
      <c r="D128" s="38"/>
      <c r="E128" s="39"/>
      <c r="F128" s="39"/>
      <c r="G128" s="37"/>
      <c r="H128" s="40"/>
      <c r="I128" s="39"/>
      <c r="J128" s="37"/>
      <c r="K128" s="38"/>
      <c r="L128" s="86"/>
      <c r="M128" s="37"/>
      <c r="N128" s="60"/>
      <c r="O128" s="39"/>
      <c r="P128" s="38"/>
      <c r="Q128" s="38"/>
      <c r="R128" s="38"/>
      <c r="S128" s="74"/>
      <c r="T128" s="53"/>
      <c r="U128" s="53"/>
    </row>
    <row r="129" spans="1:21" s="1" customFormat="1" ht="13.15" x14ac:dyDescent="0.35">
      <c r="A129" s="10"/>
      <c r="B129" s="37"/>
      <c r="C129" s="37"/>
      <c r="D129" s="38"/>
      <c r="E129" s="39"/>
      <c r="F129" s="39"/>
      <c r="G129" s="37"/>
      <c r="H129" s="40"/>
      <c r="I129" s="39"/>
      <c r="J129" s="37"/>
      <c r="K129" s="38"/>
      <c r="L129" s="39"/>
      <c r="M129" s="37"/>
      <c r="N129" s="60"/>
      <c r="O129" s="39"/>
      <c r="P129" s="38"/>
      <c r="Q129" s="38"/>
      <c r="R129" s="38"/>
      <c r="S129" s="74"/>
      <c r="T129" s="53"/>
      <c r="U129" s="53"/>
    </row>
    <row r="130" spans="1:21" s="1" customFormat="1" ht="102" customHeight="1" x14ac:dyDescent="0.35">
      <c r="A130" s="10"/>
      <c r="B130" s="37"/>
      <c r="C130" s="37"/>
      <c r="D130" s="38"/>
      <c r="E130" s="39"/>
      <c r="F130" s="39"/>
      <c r="G130" s="37"/>
      <c r="H130" s="40"/>
      <c r="I130" s="39"/>
      <c r="J130" s="37"/>
      <c r="K130" s="38"/>
      <c r="L130" s="39"/>
      <c r="M130" s="37"/>
      <c r="N130" s="60"/>
      <c r="O130" s="39"/>
      <c r="P130" s="38"/>
      <c r="Q130" s="38"/>
      <c r="R130" s="38"/>
      <c r="S130" s="74"/>
      <c r="T130" s="53"/>
      <c r="U130" s="53"/>
    </row>
    <row r="131" spans="1:21" s="1" customFormat="1" ht="13.15" x14ac:dyDescent="0.35">
      <c r="A131" s="10"/>
      <c r="B131" s="37"/>
      <c r="C131" s="37"/>
      <c r="D131" s="38"/>
      <c r="E131" s="39"/>
      <c r="F131" s="39"/>
      <c r="G131" s="37"/>
      <c r="H131" s="40"/>
      <c r="I131" s="39"/>
      <c r="J131" s="37"/>
      <c r="K131" s="38"/>
      <c r="L131" s="86"/>
      <c r="M131" s="37"/>
      <c r="N131" s="60"/>
      <c r="O131" s="39"/>
      <c r="P131" s="38"/>
      <c r="Q131" s="38"/>
      <c r="R131" s="38"/>
      <c r="S131" s="74"/>
      <c r="T131" s="53"/>
      <c r="U131" s="53"/>
    </row>
    <row r="132" spans="1:21" s="1" customFormat="1" ht="92.25" customHeight="1" x14ac:dyDescent="0.35">
      <c r="A132" s="10"/>
      <c r="B132" s="37"/>
      <c r="C132" s="37"/>
      <c r="D132" s="38"/>
      <c r="E132" s="39"/>
      <c r="F132" s="39"/>
      <c r="G132" s="37"/>
      <c r="H132" s="40"/>
      <c r="I132" s="39"/>
      <c r="J132" s="37"/>
      <c r="K132" s="38"/>
      <c r="L132" s="86"/>
      <c r="M132" s="37"/>
      <c r="N132" s="60"/>
      <c r="O132" s="39"/>
      <c r="P132" s="38"/>
      <c r="Q132" s="38"/>
      <c r="R132" s="38"/>
      <c r="S132" s="74"/>
      <c r="T132" s="53"/>
      <c r="U132" s="53"/>
    </row>
    <row r="133" spans="1:21" s="1" customFormat="1" ht="13.15" x14ac:dyDescent="0.35">
      <c r="A133" s="10"/>
      <c r="B133" s="37"/>
      <c r="C133" s="37"/>
      <c r="D133" s="38"/>
      <c r="E133" s="39"/>
      <c r="F133" s="39"/>
      <c r="G133" s="37"/>
      <c r="H133" s="40"/>
      <c r="I133" s="39"/>
      <c r="J133" s="37"/>
      <c r="K133" s="38"/>
      <c r="L133" s="39"/>
      <c r="M133" s="37"/>
      <c r="N133" s="60"/>
      <c r="O133" s="39"/>
      <c r="P133" s="38"/>
      <c r="Q133" s="38"/>
      <c r="R133" s="38"/>
      <c r="S133" s="74"/>
      <c r="T133" s="53"/>
      <c r="U133" s="53"/>
    </row>
    <row r="134" spans="1:21" s="1" customFormat="1" ht="13.15" x14ac:dyDescent="0.35">
      <c r="A134" s="10"/>
      <c r="B134" s="37"/>
      <c r="C134" s="37"/>
      <c r="D134" s="38"/>
      <c r="E134" s="39"/>
      <c r="F134" s="39"/>
      <c r="G134" s="37"/>
      <c r="H134" s="40"/>
      <c r="I134" s="39"/>
      <c r="J134" s="37"/>
      <c r="K134" s="38"/>
      <c r="L134" s="39"/>
      <c r="M134" s="37"/>
      <c r="N134" s="60"/>
      <c r="O134" s="39"/>
      <c r="P134" s="38"/>
      <c r="Q134" s="38"/>
      <c r="R134" s="38"/>
      <c r="S134" s="74"/>
      <c r="T134" s="53"/>
      <c r="U134" s="53"/>
    </row>
    <row r="135" spans="1:21" s="1" customFormat="1" ht="13.15" x14ac:dyDescent="0.35">
      <c r="A135" s="10"/>
      <c r="B135" s="37"/>
      <c r="C135" s="37"/>
      <c r="D135" s="38"/>
      <c r="E135" s="39"/>
      <c r="F135" s="39"/>
      <c r="G135" s="37"/>
      <c r="H135" s="40"/>
      <c r="I135" s="39"/>
      <c r="J135" s="37"/>
      <c r="K135" s="38"/>
      <c r="L135" s="39"/>
      <c r="M135" s="37"/>
      <c r="N135" s="60"/>
      <c r="O135" s="39"/>
      <c r="P135" s="38"/>
      <c r="Q135" s="38"/>
      <c r="R135" s="38"/>
      <c r="S135" s="74"/>
      <c r="T135" s="53"/>
      <c r="U135" s="53"/>
    </row>
    <row r="136" spans="1:21" s="1" customFormat="1" ht="13.15" x14ac:dyDescent="0.35">
      <c r="A136" s="10"/>
      <c r="B136" s="37"/>
      <c r="C136" s="37"/>
      <c r="D136" s="38"/>
      <c r="E136" s="39"/>
      <c r="F136" s="39"/>
      <c r="G136" s="37"/>
      <c r="H136" s="40"/>
      <c r="I136" s="39"/>
      <c r="J136" s="37"/>
      <c r="K136" s="38"/>
      <c r="L136" s="39"/>
      <c r="M136" s="37"/>
      <c r="N136" s="60"/>
      <c r="O136" s="39"/>
      <c r="P136" s="38"/>
      <c r="Q136" s="38"/>
      <c r="R136" s="38"/>
      <c r="S136" s="74"/>
      <c r="T136" s="53"/>
      <c r="U136" s="53"/>
    </row>
    <row r="137" spans="1:21" s="1" customFormat="1" ht="13.15" x14ac:dyDescent="0.35">
      <c r="A137" s="10"/>
      <c r="B137" s="37"/>
      <c r="C137" s="37"/>
      <c r="D137" s="38"/>
      <c r="E137" s="39"/>
      <c r="F137" s="39"/>
      <c r="G137" s="37"/>
      <c r="H137" s="40"/>
      <c r="I137" s="39"/>
      <c r="J137" s="37"/>
      <c r="K137" s="38"/>
      <c r="L137" s="39"/>
      <c r="M137" s="37"/>
      <c r="N137" s="60"/>
      <c r="O137" s="39"/>
      <c r="P137" s="38"/>
      <c r="Q137" s="38"/>
      <c r="R137" s="38"/>
      <c r="S137" s="74"/>
      <c r="T137" s="53"/>
      <c r="U137" s="53"/>
    </row>
    <row r="138" spans="1:21" s="1" customFormat="1" ht="13.15" x14ac:dyDescent="0.35">
      <c r="A138" s="10"/>
      <c r="B138" s="37"/>
      <c r="C138" s="37"/>
      <c r="D138" s="38"/>
      <c r="E138" s="39"/>
      <c r="F138" s="39"/>
      <c r="G138" s="37"/>
      <c r="H138" s="40"/>
      <c r="I138" s="39"/>
      <c r="J138" s="37"/>
      <c r="K138" s="38"/>
      <c r="L138" s="39"/>
      <c r="M138" s="37"/>
      <c r="N138" s="60"/>
      <c r="O138" s="39"/>
      <c r="P138" s="38"/>
      <c r="Q138" s="38"/>
      <c r="R138" s="38"/>
      <c r="S138" s="74"/>
      <c r="T138" s="53"/>
      <c r="U138" s="53"/>
    </row>
    <row r="139" spans="1:21" s="1" customFormat="1" ht="13.15" x14ac:dyDescent="0.35">
      <c r="A139" s="10"/>
      <c r="B139" s="37"/>
      <c r="C139" s="37"/>
      <c r="D139" s="38"/>
      <c r="E139" s="39"/>
      <c r="F139" s="39"/>
      <c r="G139" s="37"/>
      <c r="H139" s="40"/>
      <c r="I139" s="39"/>
      <c r="J139" s="37"/>
      <c r="K139" s="38"/>
      <c r="L139" s="39"/>
      <c r="M139" s="37"/>
      <c r="N139" s="60"/>
      <c r="O139" s="39"/>
      <c r="P139" s="38"/>
      <c r="Q139" s="38"/>
      <c r="R139" s="38"/>
      <c r="S139" s="74"/>
      <c r="T139" s="53"/>
      <c r="U139" s="53"/>
    </row>
    <row r="140" spans="1:21" s="1" customFormat="1" ht="13.15" x14ac:dyDescent="0.35">
      <c r="A140" s="10"/>
      <c r="B140" s="37"/>
      <c r="C140" s="37"/>
      <c r="D140" s="38"/>
      <c r="E140" s="39"/>
      <c r="F140" s="39"/>
      <c r="G140" s="37"/>
      <c r="H140" s="40"/>
      <c r="I140" s="39"/>
      <c r="J140" s="37"/>
      <c r="K140" s="38"/>
      <c r="L140" s="39"/>
      <c r="M140" s="37"/>
      <c r="N140" s="60"/>
      <c r="O140" s="39"/>
      <c r="P140" s="38"/>
      <c r="Q140" s="38"/>
      <c r="R140" s="38"/>
      <c r="S140" s="74"/>
      <c r="T140" s="53"/>
      <c r="U140" s="53"/>
    </row>
    <row r="141" spans="1:21" s="1" customFormat="1" ht="54.75" customHeight="1" x14ac:dyDescent="0.35">
      <c r="A141" s="10"/>
      <c r="B141" s="37"/>
      <c r="C141" s="37"/>
      <c r="D141" s="38"/>
      <c r="E141" s="39"/>
      <c r="F141" s="39"/>
      <c r="G141" s="37"/>
      <c r="H141" s="40"/>
      <c r="I141" s="39"/>
      <c r="J141" s="37"/>
      <c r="K141" s="38"/>
      <c r="L141" s="39"/>
      <c r="M141" s="37"/>
      <c r="N141" s="60"/>
      <c r="O141" s="39"/>
      <c r="P141" s="38"/>
      <c r="Q141" s="38"/>
      <c r="R141" s="38"/>
      <c r="S141" s="74"/>
      <c r="T141" s="53"/>
      <c r="U141" s="53"/>
    </row>
    <row r="142" spans="1:21" s="1" customFormat="1" ht="13.15" x14ac:dyDescent="0.35">
      <c r="A142" s="10"/>
      <c r="B142" s="37"/>
      <c r="C142" s="37"/>
      <c r="D142" s="38"/>
      <c r="E142" s="39"/>
      <c r="F142" s="39"/>
      <c r="G142" s="37"/>
      <c r="H142" s="40"/>
      <c r="I142" s="39"/>
      <c r="J142" s="37"/>
      <c r="K142" s="38"/>
      <c r="L142" s="39"/>
      <c r="M142" s="37"/>
      <c r="N142" s="60"/>
      <c r="O142" s="39"/>
      <c r="P142" s="38"/>
      <c r="Q142" s="38"/>
      <c r="R142" s="38"/>
      <c r="S142" s="74"/>
      <c r="T142" s="53"/>
      <c r="U142" s="53"/>
    </row>
    <row r="143" spans="1:21" s="1" customFormat="1" ht="13.15" x14ac:dyDescent="0.35">
      <c r="A143" s="10"/>
      <c r="B143" s="37"/>
      <c r="C143" s="37"/>
      <c r="D143" s="38"/>
      <c r="E143" s="39"/>
      <c r="F143" s="39"/>
      <c r="G143" s="37"/>
      <c r="H143" s="40"/>
      <c r="I143" s="39"/>
      <c r="J143" s="37"/>
      <c r="K143" s="38"/>
      <c r="L143" s="39"/>
      <c r="M143" s="37"/>
      <c r="N143" s="60"/>
      <c r="O143" s="39"/>
      <c r="P143" s="38"/>
      <c r="Q143" s="38"/>
      <c r="R143" s="38"/>
      <c r="S143" s="74"/>
      <c r="T143" s="53"/>
      <c r="U143" s="53"/>
    </row>
    <row r="144" spans="1:21" s="1" customFormat="1" ht="13.15" x14ac:dyDescent="0.35">
      <c r="A144" s="10"/>
      <c r="B144" s="37"/>
      <c r="C144" s="37"/>
      <c r="D144" s="38"/>
      <c r="E144" s="39"/>
      <c r="F144" s="39"/>
      <c r="G144" s="37"/>
      <c r="H144" s="40"/>
      <c r="I144" s="39"/>
      <c r="J144" s="37"/>
      <c r="K144" s="38"/>
      <c r="L144" s="39"/>
      <c r="M144" s="37"/>
      <c r="N144" s="60"/>
      <c r="O144" s="39"/>
      <c r="P144" s="38"/>
      <c r="Q144" s="38"/>
      <c r="R144" s="38"/>
      <c r="S144" s="74"/>
      <c r="T144" s="53"/>
      <c r="U144" s="53"/>
    </row>
    <row r="145" spans="1:21" s="1" customFormat="1" ht="57.75" customHeight="1" x14ac:dyDescent="0.35">
      <c r="A145" s="10"/>
      <c r="B145" s="37"/>
      <c r="C145" s="37"/>
      <c r="D145" s="38"/>
      <c r="E145" s="39"/>
      <c r="F145" s="39"/>
      <c r="G145" s="37"/>
      <c r="H145" s="40"/>
      <c r="I145" s="39"/>
      <c r="J145" s="37"/>
      <c r="K145" s="38"/>
      <c r="L145" s="39"/>
      <c r="M145" s="37"/>
      <c r="N145" s="60"/>
      <c r="O145" s="39"/>
      <c r="P145" s="38"/>
      <c r="Q145" s="38"/>
      <c r="R145" s="38"/>
      <c r="S145" s="74"/>
      <c r="T145" s="53"/>
      <c r="U145" s="53"/>
    </row>
    <row r="146" spans="1:21" s="1" customFormat="1" ht="13.15" x14ac:dyDescent="0.35">
      <c r="A146" s="10"/>
      <c r="B146" s="37"/>
      <c r="C146" s="37"/>
      <c r="D146" s="38"/>
      <c r="E146" s="39"/>
      <c r="F146" s="39"/>
      <c r="G146" s="37"/>
      <c r="H146" s="40"/>
      <c r="I146" s="39"/>
      <c r="J146" s="37"/>
      <c r="K146" s="38"/>
      <c r="L146" s="39"/>
      <c r="M146" s="37"/>
      <c r="N146" s="60"/>
      <c r="O146" s="39"/>
      <c r="P146" s="38"/>
      <c r="Q146" s="38"/>
      <c r="R146" s="38"/>
      <c r="S146" s="74"/>
      <c r="T146" s="53"/>
      <c r="U146" s="53"/>
    </row>
    <row r="147" spans="1:21" s="1" customFormat="1" ht="65.25" customHeight="1" x14ac:dyDescent="0.35">
      <c r="A147" s="10"/>
      <c r="B147" s="37"/>
      <c r="C147" s="37"/>
      <c r="D147" s="38"/>
      <c r="E147" s="39"/>
      <c r="F147" s="39"/>
      <c r="G147" s="37"/>
      <c r="H147" s="40"/>
      <c r="I147" s="39"/>
      <c r="J147" s="37"/>
      <c r="K147" s="38"/>
      <c r="L147" s="39"/>
      <c r="M147" s="37"/>
      <c r="N147" s="60"/>
      <c r="O147" s="39"/>
      <c r="P147" s="38"/>
      <c r="Q147" s="38"/>
      <c r="R147" s="38"/>
      <c r="S147" s="74"/>
      <c r="T147" s="53"/>
      <c r="U147" s="53"/>
    </row>
    <row r="148" spans="1:21" s="1" customFormat="1" ht="13.15" x14ac:dyDescent="0.35">
      <c r="A148" s="10"/>
      <c r="B148" s="37"/>
      <c r="C148" s="37"/>
      <c r="D148" s="38"/>
      <c r="E148" s="39"/>
      <c r="F148" s="39"/>
      <c r="G148" s="37"/>
      <c r="H148" s="40"/>
      <c r="I148" s="39"/>
      <c r="J148" s="37"/>
      <c r="K148" s="38"/>
      <c r="L148" s="39"/>
      <c r="M148" s="37"/>
      <c r="N148" s="60"/>
      <c r="O148" s="39"/>
      <c r="P148" s="38"/>
      <c r="Q148" s="38"/>
      <c r="R148" s="38"/>
      <c r="S148" s="74"/>
      <c r="T148" s="53"/>
      <c r="U148" s="53"/>
    </row>
    <row r="149" spans="1:21" s="1" customFormat="1" ht="13.15" x14ac:dyDescent="0.35">
      <c r="A149" s="10"/>
      <c r="B149" s="37"/>
      <c r="C149" s="37"/>
      <c r="D149" s="38"/>
      <c r="E149" s="39"/>
      <c r="F149" s="39"/>
      <c r="G149" s="37"/>
      <c r="H149" s="40"/>
      <c r="I149" s="39"/>
      <c r="J149" s="37"/>
      <c r="K149" s="38"/>
      <c r="L149" s="39"/>
      <c r="M149" s="37"/>
      <c r="N149" s="60"/>
      <c r="O149" s="39"/>
      <c r="P149" s="38"/>
      <c r="Q149" s="38"/>
      <c r="R149" s="38"/>
      <c r="S149" s="74"/>
      <c r="T149" s="53"/>
      <c r="U149" s="53"/>
    </row>
    <row r="150" spans="1:21" s="1" customFormat="1" ht="52.5" customHeight="1" x14ac:dyDescent="0.35">
      <c r="A150" s="10"/>
      <c r="B150" s="37"/>
      <c r="C150" s="37"/>
      <c r="D150" s="38"/>
      <c r="E150" s="39"/>
      <c r="F150" s="39"/>
      <c r="G150" s="37"/>
      <c r="H150" s="40"/>
      <c r="I150" s="39"/>
      <c r="J150" s="37"/>
      <c r="K150" s="38"/>
      <c r="L150" s="39"/>
      <c r="M150" s="37"/>
      <c r="N150" s="60"/>
      <c r="O150" s="39"/>
      <c r="P150" s="38"/>
      <c r="Q150" s="38"/>
      <c r="R150" s="38"/>
      <c r="S150" s="74"/>
      <c r="T150" s="53"/>
      <c r="U150" s="53"/>
    </row>
    <row r="151" spans="1:21" s="1" customFormat="1" ht="13.15" x14ac:dyDescent="0.35">
      <c r="A151" s="10"/>
      <c r="B151" s="37"/>
      <c r="C151" s="37"/>
      <c r="D151" s="38"/>
      <c r="E151" s="39"/>
      <c r="F151" s="39"/>
      <c r="G151" s="37"/>
      <c r="H151" s="40"/>
      <c r="I151" s="39"/>
      <c r="J151" s="37"/>
      <c r="K151" s="38"/>
      <c r="L151" s="39"/>
      <c r="M151" s="37"/>
      <c r="N151" s="60"/>
      <c r="O151" s="39"/>
      <c r="P151" s="38"/>
      <c r="Q151" s="38"/>
      <c r="R151" s="38"/>
      <c r="S151" s="74"/>
      <c r="T151" s="53"/>
      <c r="U151" s="53"/>
    </row>
    <row r="152" spans="1:21" s="1" customFormat="1" ht="13.15" x14ac:dyDescent="0.35">
      <c r="A152" s="10"/>
      <c r="B152" s="37"/>
      <c r="C152" s="37"/>
      <c r="D152" s="38"/>
      <c r="E152" s="39"/>
      <c r="F152" s="39"/>
      <c r="G152" s="37"/>
      <c r="H152" s="40"/>
      <c r="I152" s="39"/>
      <c r="J152" s="37"/>
      <c r="K152" s="38"/>
      <c r="L152" s="39"/>
      <c r="M152" s="37"/>
      <c r="N152" s="60"/>
      <c r="O152" s="39"/>
      <c r="P152" s="38"/>
      <c r="Q152" s="38"/>
      <c r="R152" s="38"/>
      <c r="S152" s="74"/>
      <c r="T152" s="53"/>
      <c r="U152" s="53"/>
    </row>
    <row r="153" spans="1:21" s="1" customFormat="1" ht="81.75" customHeight="1" x14ac:dyDescent="0.35">
      <c r="A153" s="10"/>
      <c r="B153" s="37"/>
      <c r="C153" s="37"/>
      <c r="D153" s="38"/>
      <c r="E153" s="39"/>
      <c r="F153" s="39"/>
      <c r="G153" s="37"/>
      <c r="H153" s="40"/>
      <c r="I153" s="39"/>
      <c r="J153" s="37"/>
      <c r="K153" s="38"/>
      <c r="L153" s="39"/>
      <c r="M153" s="37"/>
      <c r="N153" s="60"/>
      <c r="O153" s="39"/>
      <c r="P153" s="38"/>
      <c r="Q153" s="38"/>
      <c r="R153" s="38"/>
      <c r="S153" s="74"/>
      <c r="T153" s="53"/>
      <c r="U153" s="53"/>
    </row>
    <row r="154" spans="1:21" s="1" customFormat="1" ht="13.15" x14ac:dyDescent="0.35">
      <c r="A154" s="10"/>
      <c r="B154" s="37"/>
      <c r="C154" s="37"/>
      <c r="D154" s="38"/>
      <c r="E154" s="39"/>
      <c r="F154" s="39"/>
      <c r="G154" s="37"/>
      <c r="H154" s="40"/>
      <c r="I154" s="39"/>
      <c r="J154" s="37"/>
      <c r="K154" s="38"/>
      <c r="L154" s="39"/>
      <c r="M154" s="37"/>
      <c r="N154" s="60"/>
      <c r="O154" s="39"/>
      <c r="P154" s="38"/>
      <c r="Q154" s="38"/>
      <c r="R154" s="38"/>
      <c r="S154" s="74"/>
      <c r="T154" s="53"/>
      <c r="U154" s="53"/>
    </row>
    <row r="155" spans="1:21" s="1" customFormat="1" ht="131.25" customHeight="1" x14ac:dyDescent="0.35">
      <c r="A155" s="10"/>
      <c r="B155" s="37"/>
      <c r="C155" s="37"/>
      <c r="D155" s="38"/>
      <c r="E155" s="39"/>
      <c r="F155" s="39"/>
      <c r="G155" s="37"/>
      <c r="H155" s="40"/>
      <c r="I155" s="39"/>
      <c r="J155" s="37"/>
      <c r="K155" s="38"/>
      <c r="L155" s="39"/>
      <c r="M155" s="37"/>
      <c r="N155" s="60"/>
      <c r="O155" s="39"/>
      <c r="P155" s="38"/>
      <c r="Q155" s="38"/>
      <c r="R155" s="38"/>
      <c r="S155" s="74"/>
      <c r="T155" s="53"/>
      <c r="U155" s="53"/>
    </row>
    <row r="156" spans="1:21" s="1" customFormat="1" ht="13.15" x14ac:dyDescent="0.35">
      <c r="A156" s="10"/>
      <c r="B156" s="37"/>
      <c r="C156" s="37"/>
      <c r="D156" s="38"/>
      <c r="E156" s="39"/>
      <c r="F156" s="39"/>
      <c r="G156" s="37"/>
      <c r="H156" s="40"/>
      <c r="I156" s="39"/>
      <c r="J156" s="37"/>
      <c r="K156" s="38"/>
      <c r="L156" s="39"/>
      <c r="M156" s="37"/>
      <c r="N156" s="60"/>
      <c r="O156" s="39"/>
      <c r="P156" s="38"/>
      <c r="Q156" s="38"/>
      <c r="R156" s="38"/>
      <c r="S156" s="74"/>
      <c r="T156" s="53"/>
      <c r="U156" s="53"/>
    </row>
    <row r="157" spans="1:21" s="1" customFormat="1" ht="13.15" x14ac:dyDescent="0.35">
      <c r="A157" s="10"/>
      <c r="B157" s="37"/>
      <c r="C157" s="37"/>
      <c r="D157" s="38"/>
      <c r="E157" s="39"/>
      <c r="F157" s="39"/>
      <c r="G157" s="37"/>
      <c r="H157" s="40"/>
      <c r="I157" s="39"/>
      <c r="J157" s="37"/>
      <c r="K157" s="38"/>
      <c r="L157" s="39"/>
      <c r="M157" s="37"/>
      <c r="N157" s="60"/>
      <c r="O157" s="39"/>
      <c r="P157" s="38"/>
      <c r="Q157" s="38"/>
      <c r="R157" s="38"/>
      <c r="S157" s="74"/>
      <c r="T157" s="53"/>
      <c r="U157" s="53"/>
    </row>
    <row r="158" spans="1:21" s="1" customFormat="1" ht="13.15" x14ac:dyDescent="0.35">
      <c r="A158" s="10"/>
      <c r="B158" s="37"/>
      <c r="C158" s="37"/>
      <c r="D158" s="38"/>
      <c r="E158" s="39"/>
      <c r="F158" s="39"/>
      <c r="G158" s="37"/>
      <c r="H158" s="40"/>
      <c r="I158" s="39"/>
      <c r="J158" s="37"/>
      <c r="K158" s="38"/>
      <c r="L158" s="39"/>
      <c r="M158" s="37"/>
      <c r="N158" s="60"/>
      <c r="O158" s="39"/>
      <c r="P158" s="38"/>
      <c r="Q158" s="38"/>
      <c r="R158" s="38"/>
      <c r="S158" s="74"/>
      <c r="T158" s="53"/>
      <c r="U158" s="53"/>
    </row>
    <row r="159" spans="1:21" s="1" customFormat="1" ht="13.15" x14ac:dyDescent="0.35">
      <c r="A159" s="10"/>
      <c r="B159" s="37"/>
      <c r="C159" s="37"/>
      <c r="D159" s="38"/>
      <c r="E159" s="39"/>
      <c r="F159" s="39"/>
      <c r="G159" s="37"/>
      <c r="H159" s="40"/>
      <c r="I159" s="39"/>
      <c r="J159" s="37"/>
      <c r="K159" s="38"/>
      <c r="L159" s="39"/>
      <c r="M159" s="37"/>
      <c r="N159" s="60"/>
      <c r="O159" s="39"/>
      <c r="P159" s="38"/>
      <c r="Q159" s="38"/>
      <c r="R159" s="38"/>
      <c r="S159" s="74"/>
      <c r="T159" s="53"/>
      <c r="U159" s="53"/>
    </row>
    <row r="160" spans="1:21" s="1" customFormat="1" ht="13.15" x14ac:dyDescent="0.35">
      <c r="A160" s="10"/>
      <c r="B160" s="37"/>
      <c r="C160" s="37"/>
      <c r="D160" s="38"/>
      <c r="E160" s="39"/>
      <c r="F160" s="39"/>
      <c r="G160" s="37"/>
      <c r="H160" s="40"/>
      <c r="I160" s="39"/>
      <c r="J160" s="37"/>
      <c r="K160" s="38"/>
      <c r="L160" s="39"/>
      <c r="M160" s="37"/>
      <c r="N160" s="60"/>
      <c r="O160" s="39"/>
      <c r="P160" s="38"/>
      <c r="Q160" s="38"/>
      <c r="R160" s="38"/>
      <c r="S160" s="74"/>
      <c r="T160" s="53"/>
      <c r="U160" s="53"/>
    </row>
    <row r="161" spans="1:21" s="1" customFormat="1" ht="13.15" x14ac:dyDescent="0.35">
      <c r="A161" s="10"/>
      <c r="B161" s="37"/>
      <c r="C161" s="37"/>
      <c r="D161" s="38"/>
      <c r="E161" s="39"/>
      <c r="F161" s="39"/>
      <c r="G161" s="37"/>
      <c r="H161" s="40"/>
      <c r="I161" s="39"/>
      <c r="J161" s="37"/>
      <c r="K161" s="38"/>
      <c r="L161" s="39"/>
      <c r="M161" s="37"/>
      <c r="N161" s="60"/>
      <c r="O161" s="39"/>
      <c r="P161" s="38"/>
      <c r="Q161" s="38"/>
      <c r="R161" s="38"/>
      <c r="S161" s="74"/>
      <c r="T161" s="53"/>
      <c r="U161" s="53"/>
    </row>
    <row r="162" spans="1:21" s="1" customFormat="1" ht="13.15" x14ac:dyDescent="0.35">
      <c r="A162" s="10"/>
      <c r="B162" s="37"/>
      <c r="C162" s="37"/>
      <c r="D162" s="38"/>
      <c r="E162" s="39"/>
      <c r="F162" s="39"/>
      <c r="G162" s="37"/>
      <c r="H162" s="40"/>
      <c r="I162" s="39"/>
      <c r="J162" s="37"/>
      <c r="K162" s="38"/>
      <c r="L162" s="39"/>
      <c r="M162" s="37"/>
      <c r="N162" s="60"/>
      <c r="O162" s="39"/>
      <c r="P162" s="38"/>
      <c r="Q162" s="38"/>
      <c r="R162" s="38"/>
      <c r="S162" s="74"/>
      <c r="T162" s="53"/>
      <c r="U162" s="53"/>
    </row>
    <row r="163" spans="1:21" s="1" customFormat="1" ht="13.15" x14ac:dyDescent="0.35">
      <c r="A163" s="10"/>
      <c r="B163" s="37"/>
      <c r="C163" s="37"/>
      <c r="D163" s="38"/>
      <c r="E163" s="39"/>
      <c r="F163" s="39"/>
      <c r="G163" s="37"/>
      <c r="H163" s="40"/>
      <c r="I163" s="39"/>
      <c r="J163" s="37"/>
      <c r="K163" s="38"/>
      <c r="L163" s="39"/>
      <c r="M163" s="37"/>
      <c r="N163" s="60"/>
      <c r="O163" s="39"/>
      <c r="P163" s="38"/>
      <c r="Q163" s="38"/>
      <c r="R163" s="38"/>
      <c r="S163" s="74"/>
      <c r="T163" s="53"/>
      <c r="U163" s="53"/>
    </row>
    <row r="164" spans="1:21" s="1" customFormat="1" ht="13.15" x14ac:dyDescent="0.35">
      <c r="A164" s="10"/>
      <c r="B164" s="37"/>
      <c r="C164" s="37"/>
      <c r="D164" s="38"/>
      <c r="E164" s="39"/>
      <c r="F164" s="39"/>
      <c r="G164" s="37"/>
      <c r="H164" s="40"/>
      <c r="I164" s="39"/>
      <c r="J164" s="37"/>
      <c r="K164" s="38"/>
      <c r="L164" s="39"/>
      <c r="M164" s="37"/>
      <c r="N164" s="60"/>
      <c r="O164" s="39"/>
      <c r="P164" s="38"/>
      <c r="Q164" s="38"/>
      <c r="R164" s="38"/>
      <c r="S164" s="74"/>
      <c r="T164" s="53"/>
      <c r="U164" s="53"/>
    </row>
    <row r="165" spans="1:21" s="1" customFormat="1" ht="13.15" x14ac:dyDescent="0.35">
      <c r="A165" s="10"/>
      <c r="B165" s="37"/>
      <c r="C165" s="37"/>
      <c r="D165" s="38"/>
      <c r="E165" s="39"/>
      <c r="F165" s="39"/>
      <c r="G165" s="37"/>
      <c r="H165" s="40"/>
      <c r="I165" s="39"/>
      <c r="J165" s="37"/>
      <c r="K165" s="38"/>
      <c r="L165" s="39"/>
      <c r="M165" s="37"/>
      <c r="N165" s="60"/>
      <c r="O165" s="39"/>
      <c r="P165" s="38"/>
      <c r="Q165" s="38"/>
      <c r="R165" s="38"/>
      <c r="S165" s="74"/>
      <c r="T165" s="53"/>
      <c r="U165" s="53"/>
    </row>
    <row r="166" spans="1:21" s="1" customFormat="1" ht="13.15" x14ac:dyDescent="0.35">
      <c r="A166" s="10"/>
      <c r="B166" s="37"/>
      <c r="C166" s="37"/>
      <c r="D166" s="38"/>
      <c r="E166" s="39"/>
      <c r="F166" s="39"/>
      <c r="G166" s="37"/>
      <c r="H166" s="40"/>
      <c r="I166" s="39"/>
      <c r="J166" s="37"/>
      <c r="K166" s="38"/>
      <c r="L166" s="39"/>
      <c r="M166" s="37"/>
      <c r="N166" s="60"/>
      <c r="O166" s="39"/>
      <c r="P166" s="38"/>
      <c r="Q166" s="38"/>
      <c r="R166" s="38"/>
      <c r="S166" s="74"/>
      <c r="T166" s="53"/>
      <c r="U166" s="53"/>
    </row>
    <row r="167" spans="1:21" s="1" customFormat="1" ht="13.15" x14ac:dyDescent="0.35">
      <c r="A167" s="10"/>
      <c r="B167" s="37"/>
      <c r="C167" s="37"/>
      <c r="D167" s="38"/>
      <c r="E167" s="39"/>
      <c r="F167" s="39"/>
      <c r="G167" s="37"/>
      <c r="H167" s="40"/>
      <c r="I167" s="39"/>
      <c r="J167" s="37"/>
      <c r="K167" s="38"/>
      <c r="L167" s="39"/>
      <c r="M167" s="37"/>
      <c r="N167" s="60"/>
      <c r="O167" s="39"/>
      <c r="P167" s="38"/>
      <c r="Q167" s="38"/>
      <c r="R167" s="38"/>
      <c r="S167" s="74"/>
      <c r="T167" s="53"/>
      <c r="U167" s="53"/>
    </row>
    <row r="168" spans="1:21" s="1" customFormat="1" ht="13.15" x14ac:dyDescent="0.35">
      <c r="A168" s="10"/>
      <c r="B168" s="37"/>
      <c r="C168" s="37"/>
      <c r="D168" s="38"/>
      <c r="E168" s="39"/>
      <c r="F168" s="39"/>
      <c r="G168" s="37"/>
      <c r="H168" s="40"/>
      <c r="I168" s="39"/>
      <c r="J168" s="37"/>
      <c r="K168" s="38"/>
      <c r="L168" s="39"/>
      <c r="M168" s="37"/>
      <c r="N168" s="60"/>
      <c r="O168" s="39"/>
      <c r="P168" s="38"/>
      <c r="Q168" s="38"/>
      <c r="R168" s="38"/>
      <c r="S168" s="74"/>
      <c r="T168" s="53"/>
      <c r="U168" s="53"/>
    </row>
    <row r="169" spans="1:21" s="1" customFormat="1" ht="13.15" x14ac:dyDescent="0.35">
      <c r="A169" s="10"/>
      <c r="B169" s="37"/>
      <c r="C169" s="37"/>
      <c r="D169" s="38"/>
      <c r="E169" s="39"/>
      <c r="F169" s="39"/>
      <c r="G169" s="37"/>
      <c r="H169" s="40"/>
      <c r="I169" s="39"/>
      <c r="J169" s="37"/>
      <c r="K169" s="38"/>
      <c r="L169" s="39"/>
      <c r="M169" s="37"/>
      <c r="N169" s="60"/>
      <c r="O169" s="39"/>
      <c r="P169" s="38"/>
      <c r="Q169" s="38"/>
      <c r="R169" s="38"/>
      <c r="S169" s="74"/>
      <c r="T169" s="53"/>
      <c r="U169" s="53"/>
    </row>
    <row r="170" spans="1:21" s="1" customFormat="1" ht="13.15" x14ac:dyDescent="0.35">
      <c r="A170" s="10"/>
      <c r="B170" s="37"/>
      <c r="C170" s="37"/>
      <c r="D170" s="38"/>
      <c r="E170" s="39"/>
      <c r="F170" s="39"/>
      <c r="G170" s="37"/>
      <c r="H170" s="40"/>
      <c r="I170" s="39"/>
      <c r="J170" s="37"/>
      <c r="K170" s="38"/>
      <c r="L170" s="39"/>
      <c r="M170" s="37"/>
      <c r="N170" s="60"/>
      <c r="O170" s="39"/>
      <c r="P170" s="38"/>
      <c r="Q170" s="38"/>
      <c r="R170" s="38"/>
      <c r="S170" s="74"/>
      <c r="T170" s="53"/>
      <c r="U170" s="53"/>
    </row>
    <row r="171" spans="1:21" s="1" customFormat="1" ht="13.15" x14ac:dyDescent="0.35">
      <c r="A171" s="10"/>
      <c r="B171" s="37"/>
      <c r="C171" s="37"/>
      <c r="D171" s="38"/>
      <c r="E171" s="39"/>
      <c r="F171" s="39"/>
      <c r="G171" s="37"/>
      <c r="H171" s="40"/>
      <c r="I171" s="39"/>
      <c r="J171" s="37"/>
      <c r="K171" s="38"/>
      <c r="L171" s="39"/>
      <c r="M171" s="37"/>
      <c r="N171" s="60"/>
      <c r="O171" s="39"/>
      <c r="P171" s="38"/>
      <c r="Q171" s="38"/>
      <c r="R171" s="38"/>
      <c r="S171" s="74"/>
      <c r="T171" s="53"/>
      <c r="U171" s="53"/>
    </row>
    <row r="172" spans="1:21" s="1" customFormat="1" ht="13.15" x14ac:dyDescent="0.35">
      <c r="A172" s="10"/>
      <c r="B172" s="37"/>
      <c r="C172" s="37"/>
      <c r="D172" s="38"/>
      <c r="E172" s="39"/>
      <c r="F172" s="39"/>
      <c r="G172" s="37"/>
      <c r="H172" s="40"/>
      <c r="I172" s="39"/>
      <c r="J172" s="37"/>
      <c r="K172" s="38"/>
      <c r="L172" s="39"/>
      <c r="M172" s="37"/>
      <c r="N172" s="60"/>
      <c r="O172" s="39"/>
      <c r="P172" s="38"/>
      <c r="Q172" s="38"/>
      <c r="R172" s="38"/>
      <c r="S172" s="74"/>
      <c r="T172" s="53"/>
      <c r="U172" s="53"/>
    </row>
    <row r="173" spans="1:21" s="1" customFormat="1" ht="13.15" x14ac:dyDescent="0.35">
      <c r="A173" s="10"/>
      <c r="B173" s="37"/>
      <c r="C173" s="37"/>
      <c r="D173" s="38"/>
      <c r="E173" s="39"/>
      <c r="F173" s="39"/>
      <c r="G173" s="37"/>
      <c r="H173" s="40"/>
      <c r="I173" s="39"/>
      <c r="J173" s="37"/>
      <c r="K173" s="38"/>
      <c r="L173" s="39"/>
      <c r="M173" s="37"/>
      <c r="N173" s="60"/>
      <c r="O173" s="39"/>
      <c r="P173" s="38"/>
      <c r="Q173" s="38"/>
      <c r="R173" s="38"/>
      <c r="S173" s="74"/>
      <c r="T173" s="53"/>
      <c r="U173" s="53"/>
    </row>
    <row r="174" spans="1:21" s="1" customFormat="1" ht="13.15" x14ac:dyDescent="0.35">
      <c r="A174" s="10"/>
      <c r="B174" s="37"/>
      <c r="C174" s="37"/>
      <c r="D174" s="38"/>
      <c r="E174" s="39"/>
      <c r="F174" s="39"/>
      <c r="G174" s="37"/>
      <c r="H174" s="40"/>
      <c r="I174" s="39"/>
      <c r="J174" s="37"/>
      <c r="K174" s="38"/>
      <c r="L174" s="39"/>
      <c r="M174" s="37"/>
      <c r="N174" s="60"/>
      <c r="O174" s="39"/>
      <c r="P174" s="38"/>
      <c r="Q174" s="38"/>
      <c r="R174" s="38"/>
      <c r="S174" s="74"/>
      <c r="T174" s="53"/>
      <c r="U174" s="53"/>
    </row>
    <row r="175" spans="1:21" s="1" customFormat="1" ht="13.15" x14ac:dyDescent="0.35">
      <c r="A175" s="10"/>
      <c r="B175" s="37"/>
      <c r="C175" s="37"/>
      <c r="D175" s="38"/>
      <c r="E175" s="39"/>
      <c r="F175" s="39"/>
      <c r="G175" s="37"/>
      <c r="H175" s="40"/>
      <c r="I175" s="39"/>
      <c r="J175" s="37"/>
      <c r="K175" s="38"/>
      <c r="L175" s="39"/>
      <c r="M175" s="37"/>
      <c r="N175" s="60"/>
      <c r="O175" s="39"/>
      <c r="P175" s="38"/>
      <c r="Q175" s="38"/>
      <c r="R175" s="38"/>
      <c r="S175" s="74"/>
      <c r="T175" s="53"/>
      <c r="U175" s="53"/>
    </row>
    <row r="176" spans="1:21" s="1" customFormat="1" ht="13.15" x14ac:dyDescent="0.35">
      <c r="A176" s="10"/>
      <c r="B176" s="37"/>
      <c r="C176" s="37"/>
      <c r="D176" s="38"/>
      <c r="E176" s="39"/>
      <c r="F176" s="39"/>
      <c r="G176" s="37"/>
      <c r="H176" s="40"/>
      <c r="I176" s="39"/>
      <c r="J176" s="37"/>
      <c r="K176" s="38"/>
      <c r="L176" s="39"/>
      <c r="M176" s="37"/>
      <c r="N176" s="60"/>
      <c r="O176" s="39"/>
      <c r="P176" s="38"/>
      <c r="Q176" s="38"/>
      <c r="R176" s="38"/>
      <c r="S176" s="74"/>
      <c r="T176" s="53"/>
      <c r="U176" s="53"/>
    </row>
    <row r="177" spans="1:21" s="1" customFormat="1" ht="13.15" x14ac:dyDescent="0.35">
      <c r="A177" s="10"/>
      <c r="B177" s="37"/>
      <c r="C177" s="37"/>
      <c r="D177" s="38"/>
      <c r="E177" s="39"/>
      <c r="F177" s="39"/>
      <c r="G177" s="37"/>
      <c r="H177" s="40"/>
      <c r="I177" s="39"/>
      <c r="J177" s="37"/>
      <c r="K177" s="38"/>
      <c r="L177" s="39"/>
      <c r="M177" s="37"/>
      <c r="N177" s="60"/>
      <c r="O177" s="39"/>
      <c r="P177" s="38"/>
      <c r="Q177" s="38"/>
      <c r="R177" s="38"/>
      <c r="S177" s="74"/>
      <c r="T177" s="53"/>
      <c r="U177" s="53"/>
    </row>
    <row r="178" spans="1:21" s="1" customFormat="1" ht="13.15" x14ac:dyDescent="0.35">
      <c r="A178" s="10"/>
      <c r="B178" s="37"/>
      <c r="C178" s="37"/>
      <c r="D178" s="38"/>
      <c r="E178" s="39"/>
      <c r="F178" s="39"/>
      <c r="G178" s="37"/>
      <c r="H178" s="40"/>
      <c r="I178" s="39"/>
      <c r="J178" s="37"/>
      <c r="K178" s="38"/>
      <c r="L178" s="39"/>
      <c r="M178" s="37"/>
      <c r="N178" s="60"/>
      <c r="O178" s="39"/>
      <c r="P178" s="38"/>
      <c r="Q178" s="38"/>
      <c r="R178" s="38"/>
      <c r="S178" s="74"/>
      <c r="T178" s="53"/>
      <c r="U178" s="53"/>
    </row>
    <row r="179" spans="1:21" s="1" customFormat="1" ht="13.15" x14ac:dyDescent="0.35">
      <c r="B179" s="37"/>
      <c r="C179" s="37"/>
      <c r="D179" s="38"/>
      <c r="E179" s="39"/>
      <c r="F179" s="39"/>
      <c r="G179" s="37"/>
      <c r="H179" s="40"/>
      <c r="I179" s="39"/>
      <c r="J179" s="37"/>
      <c r="K179" s="38"/>
      <c r="L179" s="39"/>
      <c r="M179" s="37"/>
      <c r="N179" s="60"/>
      <c r="O179" s="39"/>
      <c r="P179" s="38"/>
      <c r="Q179" s="38"/>
      <c r="R179" s="38"/>
      <c r="S179" s="74"/>
      <c r="T179" s="53"/>
      <c r="U179" s="53"/>
    </row>
    <row r="180" spans="1:21" s="1" customFormat="1" ht="13.15" x14ac:dyDescent="0.35">
      <c r="B180" s="37"/>
      <c r="C180" s="37"/>
      <c r="D180" s="38"/>
      <c r="E180" s="39"/>
      <c r="F180" s="39"/>
      <c r="G180" s="37"/>
      <c r="H180" s="40"/>
      <c r="I180" s="39"/>
      <c r="J180" s="37"/>
      <c r="K180" s="38"/>
      <c r="L180" s="39"/>
      <c r="M180" s="37"/>
      <c r="N180" s="60"/>
      <c r="O180" s="39"/>
      <c r="P180" s="38"/>
      <c r="Q180" s="38"/>
      <c r="R180" s="38"/>
      <c r="S180" s="74"/>
      <c r="T180" s="53"/>
      <c r="U180" s="53"/>
    </row>
    <row r="181" spans="1:21" s="1" customFormat="1" ht="13.15" x14ac:dyDescent="0.35">
      <c r="B181" s="37"/>
      <c r="C181" s="37"/>
      <c r="D181" s="38"/>
      <c r="E181" s="39"/>
      <c r="F181" s="39"/>
      <c r="G181" s="37"/>
      <c r="H181" s="40"/>
      <c r="I181" s="39"/>
      <c r="J181" s="37"/>
      <c r="K181" s="38"/>
      <c r="L181" s="39"/>
      <c r="M181" s="37"/>
      <c r="N181" s="60"/>
      <c r="O181" s="39"/>
      <c r="P181" s="38"/>
      <c r="Q181" s="38"/>
      <c r="R181" s="38"/>
      <c r="S181" s="74"/>
      <c r="T181" s="53"/>
      <c r="U181" s="53"/>
    </row>
    <row r="182" spans="1:21" s="1" customFormat="1" ht="13.15" x14ac:dyDescent="0.35">
      <c r="B182" s="37"/>
      <c r="C182" s="37"/>
      <c r="D182" s="38"/>
      <c r="E182" s="39"/>
      <c r="F182" s="39"/>
      <c r="G182" s="37"/>
      <c r="H182" s="40"/>
      <c r="I182" s="39"/>
      <c r="J182" s="37"/>
      <c r="K182" s="38"/>
      <c r="L182" s="39"/>
      <c r="M182" s="37"/>
      <c r="N182" s="60"/>
      <c r="O182" s="39"/>
      <c r="P182" s="38"/>
      <c r="Q182" s="38"/>
      <c r="R182" s="38"/>
      <c r="S182" s="74"/>
      <c r="T182" s="53"/>
      <c r="U182" s="53"/>
    </row>
    <row r="183" spans="1:21" s="1" customFormat="1" ht="13.15" x14ac:dyDescent="0.35">
      <c r="B183" s="37"/>
      <c r="C183" s="37"/>
      <c r="D183" s="38"/>
      <c r="E183" s="39"/>
      <c r="F183" s="39"/>
      <c r="G183" s="37"/>
      <c r="H183" s="40"/>
      <c r="I183" s="39"/>
      <c r="J183" s="37"/>
      <c r="K183" s="38"/>
      <c r="L183" s="39"/>
      <c r="M183" s="37"/>
      <c r="N183" s="60"/>
      <c r="O183" s="39"/>
      <c r="P183" s="38"/>
      <c r="Q183" s="38"/>
      <c r="R183" s="38"/>
      <c r="S183" s="74"/>
      <c r="T183" s="53"/>
      <c r="U183" s="53"/>
    </row>
    <row r="184" spans="1:21" s="1" customFormat="1" ht="13.15" x14ac:dyDescent="0.35">
      <c r="B184" s="37"/>
      <c r="C184" s="37"/>
      <c r="D184" s="38"/>
      <c r="E184" s="39"/>
      <c r="F184" s="39"/>
      <c r="G184" s="37"/>
      <c r="H184" s="40"/>
      <c r="I184" s="39"/>
      <c r="J184" s="37"/>
      <c r="K184" s="38"/>
      <c r="L184" s="39"/>
      <c r="M184" s="37"/>
      <c r="N184" s="60"/>
      <c r="O184" s="39"/>
      <c r="P184" s="38"/>
      <c r="Q184" s="38"/>
      <c r="R184" s="38"/>
      <c r="S184" s="74"/>
      <c r="T184" s="53"/>
      <c r="U184" s="53"/>
    </row>
    <row r="185" spans="1:21" s="1" customFormat="1" ht="13.15" x14ac:dyDescent="0.35">
      <c r="B185" s="37"/>
      <c r="C185" s="37"/>
      <c r="D185" s="38"/>
      <c r="E185" s="39"/>
      <c r="F185" s="39"/>
      <c r="G185" s="37"/>
      <c r="H185" s="40"/>
      <c r="I185" s="39"/>
      <c r="J185" s="37"/>
      <c r="K185" s="38"/>
      <c r="L185" s="39"/>
      <c r="M185" s="37"/>
      <c r="N185" s="60"/>
      <c r="O185" s="39"/>
      <c r="P185" s="38"/>
      <c r="Q185" s="38"/>
      <c r="R185" s="38"/>
      <c r="S185" s="74"/>
      <c r="T185" s="53"/>
      <c r="U185" s="53"/>
    </row>
    <row r="186" spans="1:21" s="1" customFormat="1" ht="13.15" x14ac:dyDescent="0.35">
      <c r="B186" s="37"/>
      <c r="C186" s="37"/>
      <c r="D186" s="38"/>
      <c r="E186" s="39"/>
      <c r="F186" s="39"/>
      <c r="G186" s="37"/>
      <c r="H186" s="40"/>
      <c r="I186" s="39"/>
      <c r="J186" s="37"/>
      <c r="K186" s="38"/>
      <c r="L186" s="39"/>
      <c r="M186" s="37"/>
      <c r="N186" s="60"/>
      <c r="O186" s="39"/>
      <c r="P186" s="38"/>
      <c r="Q186" s="38"/>
      <c r="R186" s="38"/>
      <c r="S186" s="74"/>
      <c r="T186" s="53"/>
      <c r="U186" s="53"/>
    </row>
    <row r="187" spans="1:21" s="1" customFormat="1" ht="13.15" x14ac:dyDescent="0.35">
      <c r="B187" s="37"/>
      <c r="C187" s="37"/>
      <c r="D187" s="38"/>
      <c r="E187" s="39"/>
      <c r="F187" s="39"/>
      <c r="G187" s="37"/>
      <c r="H187" s="40"/>
      <c r="I187" s="39"/>
      <c r="J187" s="37"/>
      <c r="K187" s="38"/>
      <c r="L187" s="39"/>
      <c r="M187" s="37"/>
      <c r="N187" s="60"/>
      <c r="O187" s="39"/>
      <c r="P187" s="38"/>
      <c r="Q187" s="38"/>
      <c r="R187" s="38"/>
      <c r="S187" s="74"/>
      <c r="T187" s="53"/>
      <c r="U187" s="53"/>
    </row>
    <row r="188" spans="1:21" s="1" customFormat="1" ht="13.15" x14ac:dyDescent="0.35">
      <c r="B188" s="37"/>
      <c r="C188" s="37"/>
      <c r="D188" s="38"/>
      <c r="E188" s="39"/>
      <c r="F188" s="39"/>
      <c r="G188" s="37"/>
      <c r="H188" s="40"/>
      <c r="I188" s="39"/>
      <c r="J188" s="37"/>
      <c r="K188" s="38"/>
      <c r="L188" s="39"/>
      <c r="M188" s="37"/>
      <c r="N188" s="60"/>
      <c r="O188" s="39"/>
      <c r="P188" s="38"/>
      <c r="Q188" s="38"/>
      <c r="R188" s="38"/>
      <c r="S188" s="74"/>
      <c r="T188" s="53"/>
      <c r="U188" s="53"/>
    </row>
    <row r="189" spans="1:21" s="1" customFormat="1" ht="13.15" x14ac:dyDescent="0.35">
      <c r="B189" s="37"/>
      <c r="C189" s="37"/>
      <c r="D189" s="38"/>
      <c r="E189" s="39"/>
      <c r="F189" s="39"/>
      <c r="G189" s="37"/>
      <c r="H189" s="40"/>
      <c r="I189" s="39"/>
      <c r="J189" s="37"/>
      <c r="K189" s="38"/>
      <c r="L189" s="39"/>
      <c r="M189" s="37"/>
      <c r="N189" s="60"/>
      <c r="O189" s="39"/>
      <c r="P189" s="38"/>
      <c r="Q189" s="38"/>
      <c r="R189" s="38"/>
      <c r="S189" s="74"/>
      <c r="T189" s="53"/>
      <c r="U189" s="53"/>
    </row>
    <row r="190" spans="1:21" s="1" customFormat="1" ht="13.15" x14ac:dyDescent="0.35">
      <c r="B190" s="37"/>
      <c r="C190" s="37"/>
      <c r="D190" s="38"/>
      <c r="E190" s="39"/>
      <c r="F190" s="39"/>
      <c r="G190" s="37"/>
      <c r="H190" s="40"/>
      <c r="I190" s="39"/>
      <c r="J190" s="37"/>
      <c r="K190" s="38"/>
      <c r="L190" s="39"/>
      <c r="M190" s="37"/>
      <c r="N190" s="60"/>
      <c r="O190" s="39"/>
      <c r="P190" s="38"/>
      <c r="Q190" s="38"/>
      <c r="R190" s="38"/>
      <c r="S190" s="74"/>
      <c r="T190" s="53"/>
      <c r="U190" s="53"/>
    </row>
    <row r="191" spans="1:21" s="1" customFormat="1" ht="13.15" x14ac:dyDescent="0.35">
      <c r="B191" s="37"/>
      <c r="C191" s="37"/>
      <c r="D191" s="38"/>
      <c r="E191" s="39"/>
      <c r="F191" s="39"/>
      <c r="G191" s="37"/>
      <c r="H191" s="40"/>
      <c r="I191" s="39"/>
      <c r="J191" s="37"/>
      <c r="K191" s="38"/>
      <c r="L191" s="39"/>
      <c r="M191" s="37"/>
      <c r="N191" s="60"/>
      <c r="O191" s="39"/>
      <c r="P191" s="38"/>
      <c r="Q191" s="38"/>
      <c r="R191" s="38"/>
      <c r="S191" s="74"/>
      <c r="T191" s="53"/>
      <c r="U191" s="53"/>
    </row>
    <row r="192" spans="1:21" s="1" customFormat="1" ht="13.15" x14ac:dyDescent="0.35">
      <c r="B192" s="37"/>
      <c r="C192" s="37"/>
      <c r="D192" s="38"/>
      <c r="E192" s="39"/>
      <c r="F192" s="39"/>
      <c r="G192" s="37"/>
      <c r="H192" s="40"/>
      <c r="I192" s="39"/>
      <c r="J192" s="37"/>
      <c r="K192" s="38"/>
      <c r="L192" s="39"/>
      <c r="M192" s="37"/>
      <c r="N192" s="60"/>
      <c r="O192" s="39"/>
      <c r="P192" s="38"/>
      <c r="Q192" s="38"/>
      <c r="R192" s="38"/>
      <c r="S192" s="74"/>
      <c r="T192" s="53"/>
      <c r="U192" s="53"/>
    </row>
    <row r="193" spans="2:21" s="1" customFormat="1" ht="13.15" x14ac:dyDescent="0.35">
      <c r="B193" s="37"/>
      <c r="C193" s="37"/>
      <c r="D193" s="38"/>
      <c r="E193" s="39"/>
      <c r="F193" s="39"/>
      <c r="G193" s="37"/>
      <c r="H193" s="40"/>
      <c r="I193" s="39"/>
      <c r="J193" s="37"/>
      <c r="K193" s="38"/>
      <c r="L193" s="39"/>
      <c r="M193" s="37"/>
      <c r="N193" s="60"/>
      <c r="O193" s="39"/>
      <c r="P193" s="38"/>
      <c r="Q193" s="38"/>
      <c r="R193" s="38"/>
      <c r="S193" s="74"/>
      <c r="T193" s="53"/>
      <c r="U193" s="53"/>
    </row>
    <row r="194" spans="2:21" s="1" customFormat="1" ht="13.15" x14ac:dyDescent="0.35">
      <c r="B194" s="37"/>
      <c r="C194" s="37"/>
      <c r="D194" s="38"/>
      <c r="E194" s="39"/>
      <c r="F194" s="39"/>
      <c r="G194" s="37"/>
      <c r="H194" s="40"/>
      <c r="I194" s="39"/>
      <c r="J194" s="37"/>
      <c r="K194" s="38"/>
      <c r="L194" s="39"/>
      <c r="M194" s="37"/>
      <c r="N194" s="60"/>
      <c r="O194" s="39"/>
      <c r="P194" s="38"/>
      <c r="Q194" s="38"/>
      <c r="R194" s="38"/>
      <c r="S194" s="74"/>
      <c r="T194" s="53"/>
      <c r="U194" s="53"/>
    </row>
    <row r="195" spans="2:21" ht="13.15" x14ac:dyDescent="0.35">
      <c r="B195" s="37"/>
      <c r="C195" s="37"/>
      <c r="D195" s="38"/>
      <c r="E195" s="39"/>
      <c r="F195" s="39"/>
      <c r="G195" s="37"/>
      <c r="H195" s="40"/>
      <c r="I195" s="39"/>
      <c r="J195" s="37"/>
      <c r="K195" s="38"/>
      <c r="L195" s="39"/>
      <c r="M195" s="37"/>
      <c r="N195" s="60"/>
      <c r="O195" s="39"/>
      <c r="P195" s="38"/>
      <c r="Q195" s="38"/>
      <c r="R195" s="38"/>
      <c r="S195" s="74"/>
      <c r="T195" s="53"/>
      <c r="U195" s="53"/>
    </row>
    <row r="196" spans="2:21" x14ac:dyDescent="0.65">
      <c r="B196" s="7"/>
      <c r="C196" s="7"/>
      <c r="D196" s="91"/>
      <c r="E196" s="52"/>
      <c r="F196" s="52"/>
      <c r="G196" s="7"/>
      <c r="I196" s="52"/>
      <c r="J196" s="7"/>
      <c r="K196" s="91"/>
      <c r="L196" s="52"/>
      <c r="M196" s="7"/>
      <c r="N196" s="52"/>
      <c r="O196" s="52"/>
      <c r="P196" s="92"/>
      <c r="Q196" s="92"/>
      <c r="R196" s="92"/>
      <c r="S196" s="52"/>
      <c r="T196" s="53"/>
      <c r="U196" s="61"/>
    </row>
    <row r="197" spans="2:21" x14ac:dyDescent="0.65">
      <c r="B197" s="7"/>
      <c r="C197" s="7"/>
      <c r="D197" s="91"/>
      <c r="E197" s="52"/>
      <c r="F197" s="52"/>
      <c r="G197" s="7"/>
      <c r="I197" s="52"/>
      <c r="J197" s="7"/>
      <c r="K197" s="91"/>
      <c r="L197" s="52"/>
      <c r="M197" s="7"/>
      <c r="N197" s="52"/>
      <c r="O197" s="52"/>
      <c r="P197" s="92"/>
      <c r="Q197" s="92"/>
      <c r="R197" s="92"/>
      <c r="S197" s="52"/>
      <c r="T197" s="53"/>
      <c r="U197" s="61"/>
    </row>
    <row r="198" spans="2:21" x14ac:dyDescent="0.65">
      <c r="B198" s="7"/>
      <c r="C198" s="7"/>
      <c r="D198" s="91"/>
      <c r="E198" s="52"/>
      <c r="F198" s="52"/>
      <c r="G198" s="7"/>
      <c r="I198" s="52"/>
      <c r="J198" s="7"/>
      <c r="K198" s="91"/>
      <c r="L198" s="52"/>
      <c r="M198" s="7"/>
      <c r="N198" s="52"/>
      <c r="O198" s="52"/>
      <c r="P198" s="92"/>
      <c r="Q198" s="92"/>
      <c r="R198" s="92"/>
      <c r="S198" s="52"/>
      <c r="T198" s="53"/>
      <c r="U198" s="61"/>
    </row>
    <row r="199" spans="2:21" x14ac:dyDescent="0.65">
      <c r="B199" s="7"/>
      <c r="C199" s="7"/>
      <c r="D199" s="91"/>
      <c r="E199" s="52"/>
      <c r="F199" s="52"/>
      <c r="G199" s="7"/>
      <c r="I199" s="52"/>
      <c r="J199" s="7"/>
      <c r="K199" s="91"/>
      <c r="L199" s="52"/>
      <c r="M199" s="7"/>
      <c r="N199" s="52"/>
      <c r="O199" s="52"/>
      <c r="P199" s="92"/>
      <c r="Q199" s="92"/>
      <c r="R199" s="92"/>
      <c r="S199" s="52"/>
      <c r="T199" s="53"/>
      <c r="U199" s="61"/>
    </row>
    <row r="200" spans="2:21" x14ac:dyDescent="0.65">
      <c r="B200" s="7"/>
      <c r="C200" s="7"/>
      <c r="D200" s="91"/>
      <c r="E200" s="52"/>
      <c r="F200" s="52"/>
      <c r="G200" s="7"/>
      <c r="I200" s="52"/>
      <c r="J200" s="7"/>
      <c r="K200" s="91"/>
      <c r="L200" s="52"/>
      <c r="M200" s="7"/>
      <c r="N200" s="52"/>
      <c r="O200" s="52"/>
      <c r="P200" s="92"/>
      <c r="Q200" s="92"/>
      <c r="R200" s="92"/>
      <c r="S200" s="52"/>
      <c r="T200" s="53"/>
      <c r="U200" s="61"/>
    </row>
    <row r="201" spans="2:21" x14ac:dyDescent="0.65">
      <c r="B201" s="7"/>
      <c r="C201" s="7"/>
      <c r="D201" s="91"/>
      <c r="E201" s="52"/>
      <c r="F201" s="52"/>
      <c r="G201" s="7"/>
      <c r="I201" s="52"/>
      <c r="J201" s="7"/>
      <c r="K201" s="91"/>
      <c r="L201" s="52"/>
      <c r="M201" s="7"/>
      <c r="N201" s="52"/>
      <c r="O201" s="52"/>
      <c r="P201" s="92"/>
      <c r="Q201" s="92"/>
      <c r="R201" s="92"/>
      <c r="S201" s="52"/>
      <c r="T201" s="53"/>
      <c r="U201" s="61"/>
    </row>
    <row r="202" spans="2:21" x14ac:dyDescent="0.65">
      <c r="B202" s="7"/>
      <c r="C202" s="7"/>
      <c r="D202" s="91"/>
      <c r="E202" s="52"/>
      <c r="F202" s="52"/>
      <c r="G202" s="7"/>
      <c r="I202" s="52"/>
      <c r="J202" s="7"/>
      <c r="K202" s="91"/>
      <c r="L202" s="52"/>
      <c r="M202" s="7"/>
      <c r="N202" s="52"/>
      <c r="O202" s="52"/>
      <c r="P202" s="92"/>
      <c r="Q202" s="92"/>
      <c r="R202" s="92"/>
      <c r="S202" s="52"/>
      <c r="T202" s="53"/>
      <c r="U202" s="61"/>
    </row>
    <row r="203" spans="2:21" x14ac:dyDescent="0.65">
      <c r="B203" s="7"/>
      <c r="C203" s="7"/>
      <c r="D203" s="91"/>
      <c r="E203" s="52"/>
      <c r="F203" s="52"/>
      <c r="G203" s="7"/>
      <c r="I203" s="52"/>
      <c r="J203" s="7"/>
      <c r="K203" s="91"/>
      <c r="L203" s="52"/>
      <c r="M203" s="7"/>
      <c r="N203" s="52"/>
      <c r="O203" s="52"/>
      <c r="P203" s="92"/>
      <c r="Q203" s="92"/>
      <c r="R203" s="92"/>
      <c r="S203" s="52"/>
      <c r="T203" s="53"/>
      <c r="U203" s="61"/>
    </row>
    <row r="204" spans="2:21" x14ac:dyDescent="0.65">
      <c r="B204" s="7"/>
      <c r="C204" s="7"/>
      <c r="D204" s="91"/>
      <c r="E204" s="52"/>
      <c r="F204" s="52"/>
      <c r="G204" s="7"/>
      <c r="I204" s="52"/>
      <c r="J204" s="7"/>
      <c r="K204" s="91"/>
      <c r="L204" s="52"/>
      <c r="M204" s="7"/>
      <c r="N204" s="52"/>
      <c r="O204" s="52"/>
      <c r="P204" s="92"/>
      <c r="Q204" s="92"/>
      <c r="R204" s="92"/>
      <c r="S204" s="52"/>
      <c r="T204" s="53"/>
      <c r="U204" s="61"/>
    </row>
    <row r="205" spans="2:21" x14ac:dyDescent="0.65">
      <c r="B205" s="7"/>
      <c r="C205" s="7"/>
      <c r="D205" s="91"/>
      <c r="E205" s="52"/>
      <c r="F205" s="52"/>
      <c r="G205" s="7"/>
      <c r="I205" s="52"/>
      <c r="J205" s="7"/>
      <c r="K205" s="91"/>
      <c r="L205" s="52"/>
      <c r="M205" s="7"/>
      <c r="N205" s="52"/>
      <c r="O205" s="52"/>
      <c r="P205" s="92"/>
      <c r="Q205" s="92"/>
      <c r="R205" s="92"/>
      <c r="S205" s="52"/>
      <c r="T205" s="53"/>
      <c r="U205" s="61"/>
    </row>
    <row r="206" spans="2:21" x14ac:dyDescent="0.65">
      <c r="B206" s="7"/>
      <c r="C206" s="7"/>
      <c r="D206" s="91"/>
      <c r="E206" s="52"/>
      <c r="F206" s="52"/>
      <c r="G206" s="7"/>
      <c r="I206" s="52"/>
      <c r="J206" s="7"/>
      <c r="K206" s="91"/>
      <c r="L206" s="52"/>
      <c r="M206" s="7"/>
      <c r="N206" s="52"/>
      <c r="O206" s="52"/>
      <c r="P206" s="92"/>
      <c r="Q206" s="92"/>
      <c r="R206" s="92"/>
      <c r="S206" s="52"/>
      <c r="T206" s="53"/>
      <c r="U206" s="61"/>
    </row>
    <row r="207" spans="2:21" x14ac:dyDescent="0.65">
      <c r="B207" s="7"/>
      <c r="C207" s="7"/>
      <c r="D207" s="91"/>
      <c r="E207" s="52"/>
      <c r="F207" s="52"/>
      <c r="G207" s="7"/>
      <c r="I207" s="52"/>
      <c r="J207" s="7"/>
      <c r="K207" s="91"/>
      <c r="L207" s="52"/>
      <c r="M207" s="7"/>
      <c r="N207" s="52"/>
      <c r="O207" s="52"/>
      <c r="P207" s="92"/>
      <c r="Q207" s="92"/>
      <c r="R207" s="92"/>
      <c r="S207" s="52"/>
      <c r="T207" s="53"/>
      <c r="U207" s="61"/>
    </row>
    <row r="208" spans="2:21" x14ac:dyDescent="0.65">
      <c r="B208" s="7"/>
      <c r="C208" s="7"/>
      <c r="D208" s="91"/>
      <c r="E208" s="52"/>
      <c r="F208" s="52"/>
      <c r="G208" s="7"/>
      <c r="I208" s="52"/>
      <c r="J208" s="7"/>
      <c r="K208" s="91"/>
      <c r="L208" s="52"/>
      <c r="M208" s="7"/>
      <c r="N208" s="52"/>
      <c r="O208" s="52"/>
      <c r="P208" s="92"/>
      <c r="Q208" s="92"/>
      <c r="R208" s="92"/>
      <c r="S208" s="52"/>
      <c r="T208" s="53"/>
      <c r="U208" s="61"/>
    </row>
    <row r="209" spans="2:21" x14ac:dyDescent="0.65">
      <c r="B209" s="7"/>
      <c r="C209" s="7"/>
      <c r="D209" s="91"/>
      <c r="E209" s="52"/>
      <c r="F209" s="52"/>
      <c r="G209" s="7"/>
      <c r="I209" s="52"/>
      <c r="J209" s="7"/>
      <c r="K209" s="91"/>
      <c r="L209" s="52"/>
      <c r="M209" s="7"/>
      <c r="N209" s="52"/>
      <c r="O209" s="52"/>
      <c r="P209" s="92"/>
      <c r="Q209" s="92"/>
      <c r="R209" s="92"/>
      <c r="S209" s="52"/>
      <c r="T209" s="53"/>
      <c r="U209" s="61"/>
    </row>
    <row r="210" spans="2:21" x14ac:dyDescent="0.65">
      <c r="B210" s="7"/>
      <c r="C210" s="7"/>
      <c r="D210" s="91"/>
      <c r="E210" s="52"/>
      <c r="F210" s="52"/>
      <c r="G210" s="7"/>
      <c r="I210" s="52"/>
      <c r="J210" s="7"/>
      <c r="K210" s="91"/>
      <c r="L210" s="52"/>
      <c r="M210" s="7"/>
      <c r="N210" s="52"/>
      <c r="O210" s="52"/>
      <c r="P210" s="92"/>
      <c r="Q210" s="92"/>
      <c r="R210" s="92"/>
      <c r="S210" s="52"/>
      <c r="T210" s="53"/>
      <c r="U210" s="61"/>
    </row>
    <row r="211" spans="2:21" x14ac:dyDescent="0.65">
      <c r="B211" s="7"/>
      <c r="C211" s="7"/>
      <c r="D211" s="91"/>
      <c r="E211" s="52"/>
      <c r="F211" s="52"/>
      <c r="G211" s="7"/>
      <c r="I211" s="52"/>
      <c r="J211" s="7"/>
      <c r="K211" s="91"/>
      <c r="L211" s="52"/>
      <c r="M211" s="7"/>
      <c r="N211" s="52"/>
      <c r="O211" s="52"/>
      <c r="P211" s="92"/>
      <c r="Q211" s="92"/>
      <c r="R211" s="92"/>
      <c r="S211" s="52"/>
      <c r="T211" s="53"/>
      <c r="U211" s="61"/>
    </row>
  </sheetData>
  <autoFilter ref="A7:S178" xr:uid="{BEA82E33-CEB8-45DF-8DD9-3E790C743489}"/>
  <mergeCells count="32">
    <mergeCell ref="B1:S1"/>
    <mergeCell ref="B2:S2"/>
    <mergeCell ref="P6:R6"/>
    <mergeCell ref="K7:L7"/>
    <mergeCell ref="P7:S7"/>
    <mergeCell ref="B23:D23"/>
    <mergeCell ref="O23:Q23"/>
    <mergeCell ref="D7:D8"/>
    <mergeCell ref="D14:D16"/>
    <mergeCell ref="E7:E8"/>
    <mergeCell ref="O24:S24"/>
    <mergeCell ref="O25:S25"/>
    <mergeCell ref="O26:S26"/>
    <mergeCell ref="B9:B11"/>
    <mergeCell ref="B12:B13"/>
    <mergeCell ref="B14:B16"/>
    <mergeCell ref="B17:B19"/>
    <mergeCell ref="C9:C10"/>
    <mergeCell ref="C14:C16"/>
    <mergeCell ref="D9:D10"/>
    <mergeCell ref="E9:E10"/>
    <mergeCell ref="F7:F8"/>
    <mergeCell ref="G7:G8"/>
    <mergeCell ref="H7:H8"/>
    <mergeCell ref="I7:I8"/>
    <mergeCell ref="J7:J8"/>
    <mergeCell ref="M7:M8"/>
    <mergeCell ref="N7:N8"/>
    <mergeCell ref="O7:O8"/>
    <mergeCell ref="T7:T8"/>
    <mergeCell ref="U7:U8"/>
    <mergeCell ref="B7:C8"/>
  </mergeCells>
  <phoneticPr fontId="40" type="noConversion"/>
  <conditionalFormatting sqref="O10">
    <cfRule type="cellIs" dxfId="9" priority="6" stopIfTrue="1" operator="equal">
      <formula>"No action required"</formula>
    </cfRule>
  </conditionalFormatting>
  <conditionalFormatting sqref="O11">
    <cfRule type="cellIs" dxfId="8" priority="5" stopIfTrue="1" operator="equal">
      <formula>"No action required"</formula>
    </cfRule>
  </conditionalFormatting>
  <conditionalFormatting sqref="O13">
    <cfRule type="cellIs" dxfId="7" priority="4" stopIfTrue="1" operator="equal">
      <formula>"No action required"</formula>
    </cfRule>
  </conditionalFormatting>
  <conditionalFormatting sqref="O15">
    <cfRule type="cellIs" dxfId="6" priority="3" stopIfTrue="1" operator="equal">
      <formula>"No action required"</formula>
    </cfRule>
  </conditionalFormatting>
  <conditionalFormatting sqref="O20">
    <cfRule type="cellIs" dxfId="5" priority="1" stopIfTrue="1" operator="equal">
      <formula>"No action required"</formula>
    </cfRule>
  </conditionalFormatting>
  <conditionalFormatting sqref="O9 O16:O19 O21">
    <cfRule type="cellIs" dxfId="4" priority="7" stopIfTrue="1" operator="equal">
      <formula>"No action required"</formula>
    </cfRule>
  </conditionalFormatting>
  <conditionalFormatting sqref="O14 O12">
    <cfRule type="cellIs" dxfId="3" priority="8" stopIfTrue="1" operator="equal">
      <formula>"No action required"</formula>
    </cfRule>
  </conditionalFormatting>
  <conditionalFormatting sqref="H30:H195 H22:H23">
    <cfRule type="cellIs" dxfId="2" priority="9" stopIfTrue="1" operator="equal">
      <formula>"CC"</formula>
    </cfRule>
    <cfRule type="cellIs" dxfId="1" priority="10" stopIfTrue="1" operator="equal">
      <formula>"SC"</formula>
    </cfRule>
  </conditionalFormatting>
  <conditionalFormatting sqref="O48:O63 O140:O195 O70:O124 O42:O46 O126:O138 O65:O68 O31:O40 O22 O26:O29">
    <cfRule type="cellIs" dxfId="0" priority="9" stopIfTrue="1" operator="equal">
      <formula>"No action required"</formula>
    </cfRule>
  </conditionalFormatting>
  <dataValidations disablePrompts="1" count="2">
    <dataValidation type="whole" allowBlank="1" showInputMessage="1" showErrorMessage="1" sqref="G20 J20 M20" xr:uid="{13F75B86-361C-40C1-A25A-45C77A4DBB5F}">
      <formula1>1</formula1>
      <formula2>10</formula2>
    </dataValidation>
    <dataValidation type="whole" allowBlank="1" showInputMessage="1" showErrorMessage="1" sqref="G12:G19 G21:G23 G30:G195 J9:J10 J12:J19 J21:J195 M9:M10 M12:M19 M21:M195" xr:uid="{B2830B8F-4A58-4CE7-87F7-8439A357A026}">
      <formula1>1</formula1>
      <formula2>10</formula2>
    </dataValidation>
  </dataValidations>
  <printOptions horizontalCentered="1"/>
  <pageMargins left="0.11805555555555555" right="0.11805555555555555" top="0.51180555555555551" bottom="0.31041666666666667" header="0.23958333333333334" footer="0.23958333333333334"/>
  <pageSetup paperSize="9" scale="49" fitToHeight="100" orientation="landscape" horizontalDpi="1200" r:id="rId1"/>
  <headerFooter scaleWithDoc="0" alignWithMargins="0">
    <oddHeader>&amp;L&amp;"宋体,常规"文件编号：&amp;"Arial,常规"PT9L-EDFM01 V1.0</oddHeader>
    <oddFooter>&amp;C&amp;B&amp;P of 1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失效模式分析</vt:lpstr>
      <vt:lpstr>失效模式分析!Print_Area</vt:lpstr>
      <vt:lpstr>失效模式分析!Print_Titles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 FMEA</dc:title>
  <dc:subject/>
  <dc:creator>Ola Ro</dc:creator>
  <cp:keywords/>
  <dc:description/>
  <cp:lastModifiedBy>宇 杜</cp:lastModifiedBy>
  <cp:revision>1</cp:revision>
  <cp:lastPrinted>2011-02-08T12:18:18Z</cp:lastPrinted>
  <dcterms:created xsi:type="dcterms:W3CDTF">2000-12-11T02:54:55Z</dcterms:created>
  <dcterms:modified xsi:type="dcterms:W3CDTF">2026-04-28T08:25:22Z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XAccess Type">
    <vt:lpwstr>Inherited</vt:lpwstr>
  </property>
  <property fmtid="{D5CDD505-2E9C-101B-9397-08002B2CF9AE}" pid="3" name="MXAccess_state_Approved_Approves Release">
    <vt:lpwstr>AR-</vt:lpwstr>
  </property>
  <property fmtid="{D5CDD505-2E9C-101B-9397-08002B2CF9AE}" pid="4" name="MXActiveVersion">
    <vt:lpwstr>2</vt:lpwstr>
  </property>
  <property fmtid="{D5CDD505-2E9C-101B-9397-08002B2CF9AE}" pid="5" name="MXActual_state_Approved">
    <vt:lpwstr>2011-dec-22</vt:lpwstr>
  </property>
  <property fmtid="{D5CDD505-2E9C-101B-9397-08002B2CF9AE}" pid="6" name="MXActual_state_Create">
    <vt:lpwstr>N/A</vt:lpwstr>
  </property>
  <property fmtid="{D5CDD505-2E9C-101B-9397-08002B2CF9AE}" pid="7" name="MXActual_state_Obsolete">
    <vt:lpwstr>N/A</vt:lpwstr>
  </property>
  <property fmtid="{D5CDD505-2E9C-101B-9397-08002B2CF9AE}" pid="8" name="MXActual_state_Preliminary">
    <vt:lpwstr>2011-dec-22</vt:lpwstr>
  </property>
  <property fmtid="{D5CDD505-2E9C-101B-9397-08002B2CF9AE}" pid="9" name="MXActual_state_Release">
    <vt:lpwstr>2011-dec-22</vt:lpwstr>
  </property>
  <property fmtid="{D5CDD505-2E9C-101B-9397-08002B2CF9AE}" pid="10" name="MXActual_state_Released">
    <vt:lpwstr>N/A</vt:lpwstr>
  </property>
  <property fmtid="{D5CDD505-2E9C-101B-9397-08002B2CF9AE}" pid="11" name="MXActual_state_Review">
    <vt:lpwstr>2011-dec-22</vt:lpwstr>
  </property>
  <property fmtid="{D5CDD505-2E9C-101B-9397-08002B2CF9AE}" pid="12" name="MXActual_state_WIP">
    <vt:lpwstr>N/A</vt:lpwstr>
  </property>
  <property fmtid="{D5CDD505-2E9C-101B-9397-08002B2CF9AE}" pid="13" name="MXCheckin Reason">
    <vt:lpwstr/>
  </property>
  <property fmtid="{D5CDD505-2E9C-101B-9397-08002B2CF9AE}" pid="14" name="MXclau">
    <vt:lpwstr>False</vt:lpwstr>
  </property>
  <property fmtid="{D5CDD505-2E9C-101B-9397-08002B2CF9AE}" pid="15" name="MXComment_state_Approved_Approves Release">
    <vt:lpwstr/>
  </property>
  <property fmtid="{D5CDD505-2E9C-101B-9397-08002B2CF9AE}" pid="16" name="MXConfidential">
    <vt:lpwstr>No</vt:lpwstr>
  </property>
  <property fmtid="{D5CDD505-2E9C-101B-9397-08002B2CF9AE}" pid="17" name="MXCurrent">
    <vt:lpwstr>Release</vt:lpwstr>
  </property>
  <property fmtid="{D5CDD505-2E9C-101B-9397-08002B2CF9AE}" pid="18" name="MXCurrent.Localized">
    <vt:lpwstr>Release</vt:lpwstr>
  </property>
  <property fmtid="{D5CDD505-2E9C-101B-9397-08002B2CF9AE}" pid="19" name="MXDescription">
    <vt:lpwstr>System-FMEA for ACS Gen 6</vt:lpwstr>
  </property>
  <property fmtid="{D5CDD505-2E9C-101B-9397-08002B2CF9AE}" pid="20" name="MXDesignated User">
    <vt:lpwstr>Unassigned</vt:lpwstr>
  </property>
  <property fmtid="{D5CDD505-2E9C-101B-9397-08002B2CF9AE}" pid="21" name="MXEmail">
    <vt:lpwstr>hans.tornsten@danahermotion.se</vt:lpwstr>
  </property>
  <property fmtid="{D5CDD505-2E9C-101B-9397-08002B2CF9AE}" pid="22" name="MXFirstName">
    <vt:lpwstr>Hans</vt:lpwstr>
  </property>
  <property fmtid="{D5CDD505-2E9C-101B-9397-08002B2CF9AE}" pid="23" name="MXIs Version Object">
    <vt:lpwstr>False</vt:lpwstr>
  </property>
  <property fmtid="{D5CDD505-2E9C-101B-9397-08002B2CF9AE}" pid="24" name="MXLanguage">
    <vt:lpwstr>English</vt:lpwstr>
  </property>
  <property fmtid="{D5CDD505-2E9C-101B-9397-08002B2CF9AE}" pid="25" name="MXLastName">
    <vt:lpwstr>T枚rnsten</vt:lpwstr>
  </property>
  <property fmtid="{D5CDD505-2E9C-101B-9397-08002B2CF9AE}" pid="26" name="MXLatestVersion">
    <vt:lpwstr>2</vt:lpwstr>
  </property>
  <property fmtid="{D5CDD505-2E9C-101B-9397-08002B2CF9AE}" pid="27" name="MXMiddleName">
    <vt:lpwstr>Unknown</vt:lpwstr>
  </property>
  <property fmtid="{D5CDD505-2E9C-101B-9397-08002B2CF9AE}" pid="28" name="MXMove Files To Version">
    <vt:lpwstr>False</vt:lpwstr>
  </property>
  <property fmtid="{D5CDD505-2E9C-101B-9397-08002B2CF9AE}" pid="29" name="MXName">
    <vt:lpwstr>1P115037</vt:lpwstr>
  </property>
  <property fmtid="{D5CDD505-2E9C-101B-9397-08002B2CF9AE}" pid="30" name="MXOriginator">
    <vt:lpwstr>kenneth.lindgren</vt:lpwstr>
  </property>
  <property fmtid="{D5CDD505-2E9C-101B-9397-08002B2CF9AE}" pid="31" name="MXPolicy">
    <vt:lpwstr>Controlled Document</vt:lpwstr>
  </property>
  <property fmtid="{D5CDD505-2E9C-101B-9397-08002B2CF9AE}" pid="32" name="MXPolicy.Localized">
    <vt:lpwstr>Controlled Document</vt:lpwstr>
  </property>
  <property fmtid="{D5CDD505-2E9C-101B-9397-08002B2CF9AE}" pid="33" name="MXRevision">
    <vt:lpwstr>5</vt:lpwstr>
  </property>
  <property fmtid="{D5CDD505-2E9C-101B-9397-08002B2CF9AE}" pid="34" name="MXSatisfied_state_Approved_Approves Release">
    <vt:bool>true</vt:bool>
  </property>
  <property fmtid="{D5CDD505-2E9C-101B-9397-08002B2CF9AE}" pid="35" name="MXSignatures_state_Approved">
    <vt:lpwstr>Approves Release</vt:lpwstr>
  </property>
  <property fmtid="{D5CDD505-2E9C-101B-9397-08002B2CF9AE}" pid="36" name="MXSignatures_state_Create">
    <vt:lpwstr/>
  </property>
  <property fmtid="{D5CDD505-2E9C-101B-9397-08002B2CF9AE}" pid="37" name="MXSignatures_state_Obsolete">
    <vt:lpwstr/>
  </property>
  <property fmtid="{D5CDD505-2E9C-101B-9397-08002B2CF9AE}" pid="38" name="MXSignatures_state_Preliminary">
    <vt:lpwstr/>
  </property>
  <property fmtid="{D5CDD505-2E9C-101B-9397-08002B2CF9AE}" pid="39" name="MXSignatures_state_Release">
    <vt:lpwstr/>
  </property>
  <property fmtid="{D5CDD505-2E9C-101B-9397-08002B2CF9AE}" pid="40" name="MXSignatures_state_Released">
    <vt:lpwstr/>
  </property>
  <property fmtid="{D5CDD505-2E9C-101B-9397-08002B2CF9AE}" pid="41" name="MXSignatures_state_Review">
    <vt:lpwstr/>
  </property>
  <property fmtid="{D5CDD505-2E9C-101B-9397-08002B2CF9AE}" pid="42" name="MXSignatures_state_WIP">
    <vt:lpwstr/>
  </property>
  <property fmtid="{D5CDD505-2E9C-101B-9397-08002B2CF9AE}" pid="43" name="MXSigned_state_Approved_Approves Release">
    <vt:bool>true</vt:bool>
  </property>
  <property fmtid="{D5CDD505-2E9C-101B-9397-08002B2CF9AE}" pid="44" name="MXSigner_state_Approved_Approves Release">
    <vt:lpwstr>kenneth.lindgren</vt:lpwstr>
  </property>
  <property fmtid="{D5CDD505-2E9C-101B-9397-08002B2CF9AE}" pid="45" name="MXStatus_state_Approved_Approves Release">
    <vt:lpwstr>Approved</vt:lpwstr>
  </property>
  <property fmtid="{D5CDD505-2E9C-101B-9397-08002B2CF9AE}" pid="46" name="MXSuspend Versioning">
    <vt:lpwstr>False</vt:lpwstr>
  </property>
  <property fmtid="{D5CDD505-2E9C-101B-9397-08002B2CF9AE}" pid="47" name="MXTitle">
    <vt:lpwstr>ACS Gen 6 System</vt:lpwstr>
  </property>
  <property fmtid="{D5CDD505-2E9C-101B-9397-08002B2CF9AE}" pid="48" name="MXType">
    <vt:lpwstr>Failure Mode and Effect Analysis</vt:lpwstr>
  </property>
  <property fmtid="{D5CDD505-2E9C-101B-9397-08002B2CF9AE}" pid="49" name="MXType.Localized">
    <vt:lpwstr>Failure Mode and Effect Analysis</vt:lpwstr>
  </property>
  <property fmtid="{D5CDD505-2E9C-101B-9397-08002B2CF9AE}" pid="50" name="MXUser">
    <vt:lpwstr>hans.tornsten</vt:lpwstr>
  </property>
  <property fmtid="{D5CDD505-2E9C-101B-9397-08002B2CF9AE}" pid="51" name="MXVersion">
    <vt:lpwstr>2</vt:lpwstr>
  </property>
  <property fmtid="{D5CDD505-2E9C-101B-9397-08002B2CF9AE}" pid="52" name="KSOProductBuildVer">
    <vt:lpwstr>2052-12.1.0.18608</vt:lpwstr>
  </property>
  <property fmtid="{D5CDD505-2E9C-101B-9397-08002B2CF9AE}" pid="53" name="ICV">
    <vt:lpwstr>CCE0EC09636C43D09DF6F5AE81DA98AD_13</vt:lpwstr>
  </property>
</Properties>
</file>