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delve\Desktop\"/>
    </mc:Choice>
  </mc:AlternateContent>
  <xr:revisionPtr revIDLastSave="0" documentId="13_ncr:1_{ACDE2C1B-0C51-4E9B-9E37-24CC791D0A7A}" xr6:coauthVersionLast="47" xr6:coauthVersionMax="47" xr10:uidLastSave="{00000000-0000-0000-0000-000000000000}"/>
  <bookViews>
    <workbookView xWindow="-96" yWindow="-96" windowWidth="17472" windowHeight="10992" firstSheet="1" activeTab="1" xr2:uid="{00000000-000D-0000-FFFF-FFFF00000000}"/>
  </bookViews>
  <sheets>
    <sheet name="FEMA" sheetId="19" state="hidden" r:id="rId1"/>
    <sheet name="PT9L" sheetId="32" r:id="rId2"/>
    <sheet name="严重度打分表" sheetId="28" r:id="rId3"/>
    <sheet name="频率度打分表" sheetId="29" r:id="rId4"/>
    <sheet name="探测度打分表" sheetId="30" r:id="rId5"/>
    <sheet name="邦定维修数据 (2)" sheetId="20" state="hidden" r:id="rId6"/>
    <sheet name="机芯维修数据" sheetId="21" state="hidden" r:id="rId7"/>
    <sheet name="全检不良数据" sheetId="22" state="hidden" r:id="rId8"/>
    <sheet name="出货不良数据 (2)" sheetId="24" state="hidden" r:id="rId9"/>
    <sheet name="出货数据" sheetId="23" state="hidden" r:id="rId10"/>
    <sheet name="PFMEA流程" sheetId="26" state="hidden" r:id="rId11"/>
  </sheets>
  <definedNames>
    <definedName name="_xlnm._FilterDatabase" localSheetId="1" hidden="1">PT9L!$7:$281</definedName>
    <definedName name="_xlnm._FilterDatabase" localSheetId="9" hidden="1">出货数据!$A$1:$K$52</definedName>
    <definedName name="_xlnm.Print_Area" localSheetId="0">FEMA!$A$1:$V$241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0" i="23" l="1"/>
  <c r="O65" i="23"/>
  <c r="AA5" i="24"/>
  <c r="X5" i="24"/>
  <c r="W5" i="24"/>
  <c r="V5" i="24"/>
  <c r="U5" i="24"/>
  <c r="T5" i="24"/>
  <c r="S5" i="24"/>
  <c r="R5" i="24"/>
  <c r="Q5" i="24"/>
  <c r="P5" i="24"/>
  <c r="N5" i="24"/>
  <c r="M5" i="24"/>
  <c r="L5" i="24"/>
  <c r="K5" i="24"/>
  <c r="J5" i="24"/>
  <c r="I5" i="24"/>
  <c r="H5" i="24"/>
  <c r="G5" i="24"/>
  <c r="F5" i="24"/>
  <c r="AF5" i="22"/>
  <c r="AE5" i="22"/>
  <c r="AB5" i="22"/>
  <c r="AA5" i="22"/>
  <c r="Z5" i="22"/>
  <c r="Y5" i="22"/>
  <c r="X5" i="22"/>
  <c r="W5" i="22"/>
  <c r="V5" i="22"/>
  <c r="U5" i="22"/>
  <c r="T5" i="22"/>
  <c r="S5" i="22"/>
  <c r="R5" i="22"/>
  <c r="Q5" i="22"/>
  <c r="P5" i="22"/>
  <c r="O5" i="22"/>
  <c r="N5" i="22"/>
  <c r="M5" i="22"/>
  <c r="L5" i="22"/>
  <c r="K5" i="22"/>
  <c r="F5" i="21"/>
  <c r="H6" i="21"/>
  <c r="I6" i="21"/>
  <c r="J6" i="21"/>
  <c r="K5" i="21"/>
  <c r="K6" i="21"/>
  <c r="L5" i="21"/>
  <c r="L6" i="21"/>
  <c r="M6" i="21"/>
  <c r="N5" i="21"/>
  <c r="N6" i="21"/>
  <c r="O6" i="21"/>
  <c r="P5" i="21"/>
  <c r="P6" i="21"/>
  <c r="Q6" i="21"/>
  <c r="R6" i="21"/>
  <c r="S6" i="21"/>
  <c r="T6" i="21"/>
  <c r="U6" i="21"/>
  <c r="V5" i="21"/>
  <c r="V6" i="21"/>
  <c r="W5" i="21"/>
  <c r="W6" i="21"/>
  <c r="X5" i="21"/>
  <c r="X6" i="21"/>
  <c r="Y6" i="21"/>
  <c r="Z6" i="21"/>
  <c r="Z5" i="21"/>
  <c r="AA5" i="21"/>
  <c r="Z4" i="21"/>
  <c r="AA4" i="21"/>
  <c r="F5" i="20"/>
  <c r="H6" i="20"/>
  <c r="I5" i="20"/>
  <c r="I6" i="20"/>
  <c r="J5" i="20"/>
  <c r="J6" i="20"/>
  <c r="K5" i="20"/>
  <c r="K6" i="20"/>
  <c r="L6" i="20"/>
  <c r="M6" i="20"/>
  <c r="M5" i="20"/>
  <c r="N5" i="20"/>
  <c r="M4" i="20"/>
  <c r="N4" i="20"/>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Z197" i="19"/>
  <c r="L197" i="19"/>
  <c r="L196" i="19"/>
  <c r="L195" i="19"/>
  <c r="L194" i="19"/>
  <c r="L193" i="19"/>
  <c r="L192" i="19"/>
  <c r="L191" i="19"/>
  <c r="L190" i="19"/>
  <c r="L189" i="19"/>
  <c r="L188" i="19"/>
  <c r="L187" i="19"/>
  <c r="L186" i="19"/>
  <c r="L185" i="19"/>
  <c r="L184"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5" i="19"/>
  <c r="L154" i="19"/>
  <c r="L153" i="19"/>
  <c r="L152" i="19"/>
  <c r="L151" i="19"/>
  <c r="L150" i="19"/>
  <c r="L149" i="19"/>
  <c r="L148" i="19"/>
  <c r="L146" i="19"/>
  <c r="L145" i="19"/>
  <c r="L144" i="19"/>
  <c r="L143" i="19"/>
  <c r="L142" i="19"/>
  <c r="L140" i="19"/>
  <c r="L139" i="19"/>
  <c r="L138" i="19"/>
  <c r="L137" i="19"/>
  <c r="L136" i="19"/>
  <c r="L134" i="19"/>
  <c r="L133" i="19"/>
  <c r="L131" i="19"/>
  <c r="L130"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U88" i="19"/>
  <c r="L88" i="19"/>
  <c r="U87" i="19"/>
  <c r="L87" i="19"/>
  <c r="U86"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3" i="19"/>
  <c r="L32" i="19"/>
  <c r="U31" i="19"/>
  <c r="L31" i="19"/>
  <c r="L30" i="19"/>
  <c r="U29" i="19"/>
  <c r="L29" i="19"/>
  <c r="U27" i="19"/>
  <c r="L27" i="19"/>
  <c r="U26" i="19"/>
  <c r="L26" i="19"/>
  <c r="L25" i="19"/>
  <c r="L24" i="19"/>
  <c r="L23" i="19"/>
  <c r="L22" i="19"/>
  <c r="L21" i="19"/>
  <c r="L20" i="19"/>
  <c r="L19" i="19"/>
  <c r="L18" i="19"/>
  <c r="L17" i="19"/>
  <c r="L16" i="19"/>
  <c r="L15" i="19"/>
  <c r="L14" i="19"/>
  <c r="L13" i="19"/>
  <c r="L12" i="19"/>
  <c r="L11" i="19"/>
  <c r="L10" i="19"/>
  <c r="L9" i="19"/>
  <c r="L8" i="19"/>
  <c r="L280" i="32"/>
  <c r="L279" i="32"/>
  <c r="L278" i="32"/>
  <c r="L277" i="32"/>
  <c r="L270" i="32"/>
  <c r="L269" i="32"/>
  <c r="L268" i="32"/>
  <c r="L267" i="32"/>
  <c r="L266" i="32"/>
  <c r="L265" i="32"/>
  <c r="L264" i="32"/>
  <c r="L263" i="32"/>
  <c r="L262" i="32"/>
  <c r="L261" i="32"/>
  <c r="L260" i="32"/>
  <c r="L259" i="32"/>
  <c r="L258" i="32"/>
  <c r="L257" i="32"/>
  <c r="L256" i="32"/>
  <c r="L255" i="32"/>
  <c r="L254" i="32"/>
  <c r="L253" i="32"/>
  <c r="L252" i="32"/>
  <c r="L251" i="32"/>
  <c r="L250" i="32"/>
  <c r="L249" i="32"/>
  <c r="L248" i="32"/>
  <c r="L247" i="32"/>
  <c r="L246" i="32"/>
  <c r="L245" i="32"/>
  <c r="L244" i="32"/>
  <c r="L243" i="32"/>
  <c r="L242" i="32"/>
  <c r="L241" i="32"/>
  <c r="L240" i="32"/>
  <c r="L239" i="32"/>
  <c r="L238" i="32"/>
  <c r="L237" i="32"/>
  <c r="L236" i="32"/>
  <c r="L235" i="32"/>
  <c r="L234" i="32"/>
  <c r="L233" i="32"/>
  <c r="L232" i="32"/>
  <c r="L231" i="32"/>
  <c r="L230" i="32"/>
  <c r="L229" i="32"/>
  <c r="L228" i="32"/>
  <c r="L227" i="32"/>
  <c r="L226" i="32"/>
  <c r="L225" i="32"/>
  <c r="L224" i="32"/>
  <c r="L223" i="32"/>
  <c r="L222" i="32"/>
  <c r="L221" i="32"/>
  <c r="L220" i="32"/>
  <c r="L219" i="32"/>
  <c r="L218" i="32"/>
  <c r="L217" i="32"/>
  <c r="L216" i="32"/>
  <c r="L215" i="32"/>
  <c r="L214" i="32"/>
  <c r="L213" i="32"/>
  <c r="L212" i="32"/>
  <c r="L211" i="32"/>
  <c r="L210" i="32"/>
  <c r="L209" i="32"/>
  <c r="L208" i="32"/>
  <c r="L207" i="32"/>
  <c r="L206" i="32"/>
  <c r="L205" i="32"/>
  <c r="L204" i="32"/>
  <c r="L203" i="32"/>
  <c r="L202" i="32"/>
  <c r="L201" i="32"/>
  <c r="L200" i="32"/>
  <c r="L199" i="32"/>
  <c r="L198" i="32"/>
  <c r="L197" i="32"/>
  <c r="L196" i="32"/>
  <c r="U195" i="32"/>
  <c r="L195" i="32"/>
  <c r="U194" i="32"/>
  <c r="L194" i="32"/>
  <c r="U193" i="32"/>
  <c r="L193" i="32"/>
  <c r="L192" i="32"/>
  <c r="L191" i="32"/>
  <c r="L190" i="32"/>
  <c r="L189" i="32"/>
  <c r="L188" i="32"/>
  <c r="L187" i="32"/>
  <c r="L186" i="32"/>
  <c r="L185" i="32"/>
  <c r="L184" i="32"/>
  <c r="L183" i="32"/>
  <c r="L182" i="32"/>
  <c r="L181" i="32"/>
  <c r="L180" i="32"/>
  <c r="L179" i="32"/>
  <c r="L178" i="32"/>
  <c r="L177" i="32"/>
  <c r="L176" i="32"/>
  <c r="L175" i="32"/>
  <c r="L174" i="32"/>
  <c r="L173" i="32"/>
  <c r="L172" i="32"/>
  <c r="L171" i="32"/>
  <c r="L170" i="32"/>
  <c r="L169" i="32"/>
  <c r="L168" i="32"/>
  <c r="L167" i="32"/>
  <c r="L166" i="32"/>
  <c r="L165" i="32"/>
  <c r="L164" i="32"/>
  <c r="L163" i="32"/>
  <c r="L162" i="32"/>
  <c r="L161" i="32"/>
  <c r="L160" i="32"/>
  <c r="L159" i="32"/>
  <c r="L158" i="32"/>
  <c r="L157" i="32"/>
  <c r="L156" i="32"/>
  <c r="L155" i="32"/>
  <c r="L154" i="32"/>
  <c r="L153" i="32"/>
  <c r="L152" i="32"/>
  <c r="L151" i="32"/>
  <c r="L150" i="32"/>
  <c r="L149" i="32"/>
  <c r="L148" i="32"/>
  <c r="L147" i="32"/>
  <c r="L146" i="32"/>
  <c r="L145" i="32"/>
  <c r="L144" i="32"/>
  <c r="L143" i="32"/>
  <c r="L142" i="32"/>
  <c r="L141" i="32"/>
  <c r="L140" i="32"/>
  <c r="L139" i="32"/>
  <c r="L138" i="32"/>
  <c r="L137" i="32"/>
  <c r="L136" i="32"/>
  <c r="L135" i="32"/>
  <c r="L134" i="32"/>
  <c r="L133" i="32"/>
  <c r="L132" i="32"/>
  <c r="L131" i="32"/>
  <c r="L130" i="32"/>
  <c r="L129" i="32"/>
  <c r="L128" i="32"/>
  <c r="L127" i="32"/>
  <c r="L126" i="32"/>
  <c r="L125" i="32"/>
  <c r="L124" i="32"/>
  <c r="L123" i="32"/>
  <c r="L122" i="32"/>
  <c r="L121" i="32"/>
  <c r="L120" i="32"/>
  <c r="L119" i="32"/>
  <c r="L118" i="32"/>
  <c r="L117" i="32"/>
  <c r="L116" i="32"/>
  <c r="L115" i="32"/>
  <c r="L114" i="32"/>
  <c r="L113" i="32"/>
  <c r="L112" i="32"/>
  <c r="L111" i="32"/>
  <c r="L110" i="32"/>
  <c r="L109" i="32"/>
  <c r="U108" i="32"/>
  <c r="L108" i="32"/>
  <c r="U107" i="32"/>
  <c r="L107" i="32"/>
  <c r="L106" i="32"/>
  <c r="L105" i="32"/>
  <c r="U104" i="32"/>
  <c r="L104" i="32"/>
  <c r="U103" i="32"/>
  <c r="L103" i="32"/>
  <c r="L102" i="32"/>
  <c r="L101" i="32"/>
  <c r="U100" i="32"/>
  <c r="L100" i="32"/>
  <c r="U99" i="32"/>
  <c r="L99" i="32"/>
  <c r="L98" i="32"/>
  <c r="L97" i="32"/>
  <c r="L96" i="32"/>
  <c r="L95" i="32"/>
  <c r="L94" i="32"/>
  <c r="L93" i="32"/>
  <c r="L92" i="32"/>
  <c r="L91" i="32"/>
  <c r="L90" i="32"/>
  <c r="L89" i="32"/>
  <c r="U88" i="32"/>
  <c r="L88" i="32"/>
  <c r="L87" i="32"/>
  <c r="U86" i="32"/>
  <c r="L86" i="32"/>
  <c r="U85" i="32"/>
  <c r="L85" i="32"/>
  <c r="L84" i="32"/>
  <c r="L83" i="32"/>
  <c r="L82" i="32"/>
  <c r="L81" i="32"/>
  <c r="L80" i="32"/>
  <c r="L79" i="32"/>
  <c r="L78" i="32"/>
  <c r="L77" i="32"/>
  <c r="L76" i="32"/>
  <c r="L75" i="32"/>
  <c r="L74" i="32"/>
  <c r="U73" i="32"/>
  <c r="L73" i="32"/>
  <c r="L72" i="32"/>
  <c r="L71" i="32"/>
  <c r="L70" i="32"/>
  <c r="U69" i="32"/>
  <c r="L69" i="32"/>
  <c r="L68" i="32"/>
  <c r="L67" i="32"/>
  <c r="L66" i="32"/>
  <c r="U65" i="32"/>
  <c r="L65" i="32"/>
  <c r="L64" i="32"/>
  <c r="L63" i="32"/>
  <c r="L62" i="32"/>
  <c r="L61" i="32"/>
  <c r="L60" i="32"/>
  <c r="L59" i="32"/>
  <c r="L58" i="32"/>
  <c r="L57" i="32"/>
  <c r="L56" i="32"/>
  <c r="L55" i="32"/>
  <c r="L54" i="32"/>
  <c r="L53" i="32"/>
  <c r="L52" i="32"/>
  <c r="L51" i="32"/>
  <c r="L50" i="32"/>
  <c r="L49" i="32"/>
  <c r="U48" i="32"/>
  <c r="L48" i="32"/>
  <c r="L47" i="32"/>
  <c r="L46" i="32"/>
  <c r="L45" i="32"/>
  <c r="L44" i="32"/>
  <c r="L43" i="32"/>
  <c r="L42" i="32"/>
  <c r="L41" i="32"/>
  <c r="L40" i="32"/>
  <c r="L39" i="32"/>
  <c r="U38" i="32"/>
  <c r="L38" i="32"/>
  <c r="L37" i="32"/>
  <c r="L36" i="32"/>
  <c r="L35" i="32"/>
  <c r="L34" i="32"/>
  <c r="L33" i="32"/>
  <c r="L32" i="32"/>
  <c r="L31" i="32"/>
  <c r="L30" i="32"/>
  <c r="L29" i="32"/>
  <c r="L28" i="32"/>
  <c r="L27" i="32"/>
  <c r="L26" i="32"/>
  <c r="L25" i="32"/>
  <c r="L24" i="32"/>
  <c r="L23" i="32"/>
  <c r="L22" i="32"/>
  <c r="L21" i="32"/>
  <c r="L20" i="32"/>
  <c r="L19" i="32"/>
  <c r="L18" i="32"/>
  <c r="L17" i="32"/>
  <c r="L16" i="32"/>
  <c r="L15" i="32"/>
  <c r="L14" i="32"/>
  <c r="U13" i="32"/>
  <c r="L13" i="32"/>
  <c r="U12" i="32"/>
  <c r="L12" i="32"/>
  <c r="L11" i="32"/>
  <c r="L10" i="32"/>
  <c r="L9" i="32"/>
  <c r="L8"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01550</author>
  </authors>
  <commentList>
    <comment ref="D8" authorId="0" shapeId="0" xr:uid="{00000000-0006-0000-0000-000001000000}">
      <text>
        <r>
          <rPr>
            <sz val="9"/>
            <rFont val="宋体"/>
            <charset val="134"/>
          </rPr>
          <t>01550:
该步骤注意失效模式是否能在本工位识别，若不能则统计发生频率时应统计到受影响工位的频率</t>
        </r>
      </text>
    </comment>
    <comment ref="E8" authorId="0" shapeId="0" xr:uid="{00000000-0006-0000-0000-000002000000}">
      <text>
        <r>
          <rPr>
            <sz val="9"/>
            <rFont val="宋体"/>
            <charset val="134"/>
          </rPr>
          <t>01550:
对使用者的影响</t>
        </r>
      </text>
    </comment>
    <comment ref="G8" authorId="0" shapeId="0" xr:uid="{00000000-0006-0000-0000-000003000000}">
      <text>
        <r>
          <rPr>
            <sz val="9"/>
            <rFont val="宋体"/>
            <charset val="134"/>
          </rPr>
          <t>01550:
数据来源于产品性能不良造成的后果对应后果严重度判定准则表中的数值</t>
        </r>
      </text>
    </comment>
    <comment ref="I8" authorId="0" shapeId="0" xr:uid="{00000000-0006-0000-0000-000004000000}">
      <text>
        <r>
          <rPr>
            <sz val="9"/>
            <rFont val="宋体"/>
            <charset val="134"/>
          </rPr>
          <t>01550:
数据来源于过程统计中的历史数据或相关实验数据</t>
        </r>
      </text>
    </comment>
    <comment ref="K8" authorId="0" shapeId="0" xr:uid="{00000000-0006-0000-0000-000005000000}">
      <text>
        <r>
          <rPr>
            <sz val="9"/>
            <rFont val="宋体"/>
            <charset val="134"/>
          </rPr>
          <t>01550:
来源于三级文件中的不易探测度表格</t>
        </r>
      </text>
    </comment>
    <comment ref="N8" authorId="0" shapeId="0" xr:uid="{00000000-0006-0000-0000-000006000000}">
      <text>
        <r>
          <rPr>
            <sz val="9"/>
            <rFont val="宋体"/>
            <charset val="134"/>
          </rPr>
          <t xml:space="preserve">01550:
1，详细记录生产及检验过程中不良现象、原因明细，各类不良所占比例；     2，应统计设备工装导致生产出现异常的频次及原因； </t>
        </r>
      </text>
    </comment>
    <comment ref="E9" authorId="0" shapeId="0" xr:uid="{00000000-0006-0000-0000-000007000000}">
      <text>
        <r>
          <rPr>
            <sz val="9"/>
            <rFont val="宋体"/>
            <charset val="134"/>
          </rPr>
          <t>01550:
对下道工序的影响</t>
        </r>
      </text>
    </comment>
    <comment ref="E10" authorId="0" shapeId="0" xr:uid="{00000000-0006-0000-0000-000008000000}">
      <text>
        <r>
          <rPr>
            <sz val="9"/>
            <rFont val="宋体"/>
            <charset val="134"/>
          </rPr>
          <t>01550:
对客户的影响</t>
        </r>
      </text>
    </comment>
    <comment ref="D11" authorId="0" shapeId="0" xr:uid="{00000000-0006-0000-0000-000009000000}">
      <text>
        <r>
          <rPr>
            <sz val="9"/>
            <rFont val="宋体"/>
            <charset val="134"/>
          </rPr>
          <t>01550:
该步骤注意失效模式是否能在本工位识别，若不能则统计发生频率时应统计到受影响工位的频率</t>
        </r>
      </text>
    </comment>
    <comment ref="E11" authorId="0" shapeId="0" xr:uid="{00000000-0006-0000-0000-00000A000000}">
      <text>
        <r>
          <rPr>
            <sz val="9"/>
            <rFont val="宋体"/>
            <charset val="134"/>
          </rPr>
          <t>01550:
对使用者的影响</t>
        </r>
      </text>
    </comment>
    <comment ref="G11" authorId="0" shapeId="0" xr:uid="{00000000-0006-0000-0000-00000B000000}">
      <text>
        <r>
          <rPr>
            <sz val="9"/>
            <rFont val="宋体"/>
            <charset val="134"/>
          </rPr>
          <t>01550:
数据来源于产品性能不良造成的后果对应后果严重度判定准则表中的数值</t>
        </r>
      </text>
    </comment>
    <comment ref="I11" authorId="0" shapeId="0" xr:uid="{00000000-0006-0000-0000-00000C000000}">
      <text>
        <r>
          <rPr>
            <sz val="9"/>
            <rFont val="宋体"/>
            <charset val="134"/>
          </rPr>
          <t>01550:
数据来源于过程统计中的历史数据或相关实验数据</t>
        </r>
      </text>
    </comment>
    <comment ref="K11" authorId="0" shapeId="0" xr:uid="{00000000-0006-0000-0000-00000D000000}">
      <text>
        <r>
          <rPr>
            <sz val="9"/>
            <rFont val="宋体"/>
            <charset val="134"/>
          </rPr>
          <t>01550:
来源于三级文件中的不易探测度表格</t>
        </r>
      </text>
    </comment>
    <comment ref="E12" authorId="0" shapeId="0" xr:uid="{00000000-0006-0000-0000-00000E000000}">
      <text>
        <r>
          <rPr>
            <sz val="9"/>
            <rFont val="宋体"/>
            <charset val="134"/>
          </rPr>
          <t>01550:
对下道工序的影响</t>
        </r>
      </text>
    </comment>
    <comment ref="E13" authorId="0" shapeId="0" xr:uid="{00000000-0006-0000-0000-00000F000000}">
      <text>
        <r>
          <rPr>
            <sz val="9"/>
            <rFont val="宋体"/>
            <charset val="134"/>
          </rPr>
          <t>01550:
对客户的影响</t>
        </r>
      </text>
    </comment>
    <comment ref="D14" authorId="0" shapeId="0" xr:uid="{00000000-0006-0000-0000-000010000000}">
      <text>
        <r>
          <rPr>
            <sz val="9"/>
            <rFont val="宋体"/>
            <charset val="134"/>
          </rPr>
          <t>01550:
该步骤注意失效模式是否能在本工位识别，若不能则统计发生频率时应统计到受影响工位的频率</t>
        </r>
      </text>
    </comment>
    <comment ref="E14" authorId="0" shapeId="0" xr:uid="{00000000-0006-0000-0000-000011000000}">
      <text>
        <r>
          <rPr>
            <sz val="9"/>
            <rFont val="宋体"/>
            <charset val="134"/>
          </rPr>
          <t>01550:
对使用者的影响</t>
        </r>
      </text>
    </comment>
    <comment ref="I14" authorId="0" shapeId="0" xr:uid="{00000000-0006-0000-0000-000012000000}">
      <text>
        <r>
          <rPr>
            <sz val="9"/>
            <rFont val="宋体"/>
            <charset val="134"/>
          </rPr>
          <t>01550:
数据来源于过程统计中的历史数据或相关实验数据</t>
        </r>
      </text>
    </comment>
    <comment ref="E15" authorId="0" shapeId="0" xr:uid="{00000000-0006-0000-0000-000013000000}">
      <text>
        <r>
          <rPr>
            <sz val="9"/>
            <rFont val="宋体"/>
            <charset val="134"/>
          </rPr>
          <t>01550:
对下道工序的影响</t>
        </r>
      </text>
    </comment>
    <comment ref="E16" authorId="0" shapeId="0" xr:uid="{00000000-0006-0000-0000-000014000000}">
      <text>
        <r>
          <rPr>
            <sz val="9"/>
            <rFont val="宋体"/>
            <charset val="134"/>
          </rPr>
          <t>01550:
对客户的影响</t>
        </r>
      </text>
    </comment>
    <comment ref="D17" authorId="0" shapeId="0" xr:uid="{00000000-0006-0000-0000-000015000000}">
      <text>
        <r>
          <rPr>
            <sz val="9"/>
            <rFont val="宋体"/>
            <charset val="134"/>
          </rPr>
          <t>01550:
该步骤注意失效模式是否能在本工位识别，若不能则统计发生频率时应统计到受影响工位的频率</t>
        </r>
      </text>
    </comment>
    <comment ref="E17" authorId="0" shapeId="0" xr:uid="{00000000-0006-0000-0000-000016000000}">
      <text>
        <r>
          <rPr>
            <sz val="9"/>
            <rFont val="宋体"/>
            <charset val="134"/>
          </rPr>
          <t>01550:
对使用者的影响</t>
        </r>
      </text>
    </comment>
    <comment ref="G17" authorId="0" shapeId="0" xr:uid="{00000000-0006-0000-0000-000017000000}">
      <text>
        <r>
          <rPr>
            <sz val="9"/>
            <rFont val="宋体"/>
            <charset val="134"/>
          </rPr>
          <t>01550:
数据来源于产品性能不良造成的后果对应后果严重度判定准则表中的数值</t>
        </r>
      </text>
    </comment>
    <comment ref="I17" authorId="0" shapeId="0" xr:uid="{00000000-0006-0000-0000-000018000000}">
      <text>
        <r>
          <rPr>
            <sz val="9"/>
            <rFont val="宋体"/>
            <charset val="134"/>
          </rPr>
          <t>01550:
数据来源于过程统计中的历史数据或相关实验数据</t>
        </r>
      </text>
    </comment>
    <comment ref="K17" authorId="0" shapeId="0" xr:uid="{00000000-0006-0000-0000-000019000000}">
      <text>
        <r>
          <rPr>
            <sz val="9"/>
            <rFont val="宋体"/>
            <charset val="134"/>
          </rPr>
          <t>01550:
来源于三级文件中的不易探测度表格</t>
        </r>
      </text>
    </comment>
    <comment ref="E18" authorId="0" shapeId="0" xr:uid="{00000000-0006-0000-0000-00001A000000}">
      <text>
        <r>
          <rPr>
            <sz val="9"/>
            <rFont val="宋体"/>
            <charset val="134"/>
          </rPr>
          <t>01550:
对下道工序的影响</t>
        </r>
      </text>
    </comment>
    <comment ref="E19" authorId="0" shapeId="0" xr:uid="{00000000-0006-0000-0000-00001B000000}">
      <text>
        <r>
          <rPr>
            <sz val="9"/>
            <rFont val="宋体"/>
            <charset val="134"/>
          </rPr>
          <t>01550:
对客户的影响</t>
        </r>
      </text>
    </comment>
    <comment ref="D20" authorId="0" shapeId="0" xr:uid="{00000000-0006-0000-0000-00001C000000}">
      <text>
        <r>
          <rPr>
            <sz val="9"/>
            <rFont val="宋体"/>
            <charset val="134"/>
          </rPr>
          <t>01550:简化</t>
        </r>
      </text>
    </comment>
    <comment ref="A53" authorId="0" shapeId="0" xr:uid="{00000000-0006-0000-0000-00001D000000}">
      <text>
        <r>
          <rPr>
            <sz val="9"/>
            <rFont val="宋体"/>
            <charset val="134"/>
          </rPr>
          <t>01550:
只进行标定，不做检验</t>
        </r>
      </text>
    </comment>
    <comment ref="D53" authorId="0" shapeId="0" xr:uid="{00000000-0006-0000-0000-00001E000000}">
      <text>
        <r>
          <rPr>
            <sz val="9"/>
            <rFont val="宋体"/>
            <charset val="134"/>
          </rPr>
          <t>01550:
简化</t>
        </r>
      </text>
    </comment>
    <comment ref="I53" authorId="0" shapeId="0" xr:uid="{00000000-0006-0000-0000-00001F000000}">
      <text>
        <r>
          <rPr>
            <sz val="9"/>
            <rFont val="宋体"/>
            <charset val="134"/>
          </rPr>
          <t>01550:
来源于客诉数据</t>
        </r>
      </text>
    </comment>
    <comment ref="J53" authorId="0" shapeId="0" xr:uid="{00000000-0006-0000-0000-000020000000}">
      <text>
        <r>
          <rPr>
            <sz val="9"/>
            <rFont val="宋体"/>
            <charset val="134"/>
          </rPr>
          <t>01550:
抽检方案的制定需考虑实际情况及历史数据支撑</t>
        </r>
      </text>
    </comment>
    <comment ref="I54" authorId="0" shapeId="0" xr:uid="{00000000-0006-0000-0000-000021000000}">
      <text>
        <r>
          <rPr>
            <sz val="9"/>
            <rFont val="宋体"/>
            <charset val="134"/>
          </rPr>
          <t>01550:
数据来源于组装全检不良比例或品质抽检数据</t>
        </r>
      </text>
    </comment>
    <comment ref="I55" authorId="0" shapeId="0" xr:uid="{00000000-0006-0000-0000-000022000000}">
      <text>
        <r>
          <rPr>
            <sz val="9"/>
            <rFont val="宋体"/>
            <charset val="134"/>
          </rPr>
          <t>01550:
来源于出货检验数据和客诉数据</t>
        </r>
      </text>
    </comment>
    <comment ref="A101" authorId="0" shapeId="0" xr:uid="{00000000-0006-0000-0000-000023000000}">
      <text>
        <r>
          <rPr>
            <sz val="9"/>
            <rFont val="宋体"/>
            <charset val="134"/>
          </rPr>
          <t>01550:
取消</t>
        </r>
      </text>
    </comment>
    <comment ref="A107" authorId="0" shapeId="0" xr:uid="{00000000-0006-0000-0000-000024000000}">
      <text>
        <r>
          <rPr>
            <sz val="9"/>
            <rFont val="宋体"/>
            <charset val="134"/>
          </rPr>
          <t>01550:
取消</t>
        </r>
      </text>
    </comment>
    <comment ref="J110" authorId="0" shapeId="0" xr:uid="{00000000-0006-0000-0000-000025000000}">
      <text>
        <r>
          <rPr>
            <sz val="9"/>
            <rFont val="宋体"/>
            <charset val="134"/>
          </rPr>
          <t>01550:
目前技术部规定使用50次，需统计质控卡实际寿命</t>
        </r>
      </text>
    </comment>
    <comment ref="I111" authorId="0" shapeId="0" xr:uid="{00000000-0006-0000-0000-000026000000}">
      <text>
        <r>
          <rPr>
            <sz val="9"/>
            <rFont val="宋体"/>
            <charset val="134"/>
          </rPr>
          <t>01550:
不良比例0.16%，全检+出货</t>
        </r>
      </text>
    </comment>
    <comment ref="I114" authorId="0" shapeId="0" xr:uid="{00000000-0006-0000-0000-000027000000}">
      <text>
        <r>
          <rPr>
            <sz val="9"/>
            <rFont val="宋体"/>
            <charset val="134"/>
          </rPr>
          <t>01550:
0.18%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13310</author>
    <author>01550</author>
  </authors>
  <commentList>
    <comment ref="B6" authorId="0" shapeId="0" xr:uid="{00000000-0006-0000-0100-000001000000}">
      <text>
        <r>
          <rPr>
            <b/>
            <sz val="9"/>
            <rFont val="宋体"/>
            <charset val="134"/>
          </rPr>
          <t>13310:</t>
        </r>
        <r>
          <rPr>
            <sz val="9"/>
            <rFont val="宋体"/>
            <charset val="134"/>
          </rPr>
          <t xml:space="preserve">
</t>
        </r>
      </text>
    </comment>
    <comment ref="D6" authorId="0" shapeId="0" xr:uid="{00000000-0006-0000-0100-000002000000}">
      <text>
        <r>
          <rPr>
            <sz val="10"/>
            <rFont val="宋体"/>
            <charset val="134"/>
          </rPr>
          <t>不符合工序要求可能出现的不良现象</t>
        </r>
      </text>
    </comment>
    <comment ref="E6" authorId="0" shapeId="0" xr:uid="{00000000-0006-0000-0100-000003000000}">
      <text>
        <r>
          <rPr>
            <sz val="10"/>
            <rFont val="宋体"/>
            <charset val="134"/>
          </rPr>
          <t>不良现象对直接对象造成的后果</t>
        </r>
      </text>
    </comment>
    <comment ref="L6" authorId="0" shapeId="0" xr:uid="{00000000-0006-0000-0100-000004000000}">
      <text>
        <r>
          <rPr>
            <sz val="10"/>
            <rFont val="宋体"/>
            <charset val="134"/>
          </rPr>
          <t>1.当RPN值大于200时应采取适当措施加以控制，但在一般实践中不管RPN的结果如何，当严重度（S）高于7时，就应采取措施加以控制。
2.当此工序已定义为特殊工序则只需在现行工艺工艺中填写控制办法，其它则不需填写
3.严重度小于8或RPN值小于200的，且现行工艺对上述工序有控制措施的工序，需在建议措施中体现</t>
        </r>
      </text>
    </comment>
    <comment ref="M6" authorId="0" shapeId="0" xr:uid="{00000000-0006-0000-0100-000005000000}">
      <text>
        <r>
          <rPr>
            <sz val="9"/>
            <rFont val="宋体"/>
            <charset val="134"/>
          </rPr>
          <t>现行控制方式对不良发生、截留等方面控制的有效性评价</t>
        </r>
      </text>
    </comment>
    <comment ref="N6" authorId="0" shapeId="0" xr:uid="{00000000-0006-0000-0100-000006000000}">
      <text>
        <r>
          <rPr>
            <sz val="10"/>
            <rFont val="宋体"/>
            <charset val="134"/>
          </rPr>
          <t>RPN超过200或严重度S超过7时需要提出新的不良控制手段</t>
        </r>
      </text>
    </comment>
    <comment ref="J7" authorId="0" shapeId="0" xr:uid="{00000000-0006-0000-0100-000007000000}">
      <text>
        <r>
          <rPr>
            <sz val="10"/>
            <rFont val="宋体"/>
            <charset val="134"/>
          </rPr>
          <t>为防止此不良发生的现行控制方式,此处控制方式应与工序控制大纲一致</t>
        </r>
      </text>
    </comment>
    <comment ref="P7" authorId="0" shapeId="0" xr:uid="{00000000-0006-0000-0100-000008000000}">
      <text>
        <r>
          <rPr>
            <sz val="9"/>
            <rFont val="宋体"/>
            <charset val="134"/>
          </rPr>
          <t>将建议措施转化为具体执行的方法</t>
        </r>
      </text>
    </comment>
    <comment ref="U7" authorId="0" shapeId="0" xr:uid="{00000000-0006-0000-0100-000009000000}">
      <text>
        <r>
          <rPr>
            <sz val="10"/>
            <rFont val="宋体"/>
            <charset val="134"/>
          </rPr>
          <t>根据新的控制方法重新打分</t>
        </r>
      </text>
    </comment>
    <comment ref="D16" authorId="1" shapeId="0" xr:uid="{00000000-0006-0000-0100-00000A000000}">
      <text>
        <r>
          <rPr>
            <b/>
            <sz val="9"/>
            <rFont val="宋体"/>
            <charset val="134"/>
          </rPr>
          <t>01550:</t>
        </r>
        <r>
          <rPr>
            <sz val="9"/>
            <rFont val="宋体"/>
            <charset val="134"/>
          </rPr>
          <t xml:space="preserve">
该步骤注意失效模式是否能在本工位识别，若不能则统计发生频率时应统计到受影响工位的频率</t>
        </r>
      </text>
    </comment>
    <comment ref="E16" authorId="1" shapeId="0" xr:uid="{00000000-0006-0000-0100-00000B000000}">
      <text>
        <r>
          <rPr>
            <b/>
            <sz val="9"/>
            <rFont val="宋体"/>
            <charset val="134"/>
          </rPr>
          <t>01550:</t>
        </r>
        <r>
          <rPr>
            <sz val="9"/>
            <rFont val="宋体"/>
            <charset val="134"/>
          </rPr>
          <t xml:space="preserve">
对使用者的影响</t>
        </r>
      </text>
    </comment>
    <comment ref="N16" authorId="1" shapeId="0" xr:uid="{00000000-0006-0000-0100-00000C000000}">
      <text>
        <r>
          <rPr>
            <b/>
            <sz val="9"/>
            <rFont val="宋体"/>
            <charset val="134"/>
          </rPr>
          <t>01550:</t>
        </r>
        <r>
          <rPr>
            <sz val="9"/>
            <rFont val="宋体"/>
            <charset val="134"/>
          </rPr>
          <t xml:space="preserve">
1，详细记录生产及检验过程中不良现象、原因明细，各类不良所占比例；     2，应统计设备工装导致生产出现异常的频次及原因； </t>
        </r>
      </text>
    </comment>
    <comment ref="E17" authorId="1" shapeId="0" xr:uid="{00000000-0006-0000-0100-00000D000000}">
      <text>
        <r>
          <rPr>
            <b/>
            <sz val="9"/>
            <rFont val="宋体"/>
            <charset val="134"/>
          </rPr>
          <t>01550:</t>
        </r>
        <r>
          <rPr>
            <sz val="9"/>
            <rFont val="宋体"/>
            <charset val="134"/>
          </rPr>
          <t xml:space="preserve">
对使用者的影响</t>
        </r>
      </text>
    </comment>
    <comment ref="D18" authorId="1" shapeId="0" xr:uid="{00000000-0006-0000-0100-00000E000000}">
      <text>
        <r>
          <rPr>
            <b/>
            <sz val="9"/>
            <rFont val="宋体"/>
            <charset val="134"/>
          </rPr>
          <t>01550:</t>
        </r>
        <r>
          <rPr>
            <sz val="9"/>
            <rFont val="宋体"/>
            <charset val="134"/>
          </rPr>
          <t xml:space="preserve">
该步骤注意失效模式是否能在本工位识别，若不能则统计发生频率时应统计到受影响工位的频率</t>
        </r>
      </text>
    </comment>
    <comment ref="E18" authorId="1" shapeId="0" xr:uid="{00000000-0006-0000-0100-00000F000000}">
      <text>
        <r>
          <rPr>
            <b/>
            <sz val="9"/>
            <rFont val="宋体"/>
            <charset val="134"/>
          </rPr>
          <t>01550:</t>
        </r>
        <r>
          <rPr>
            <sz val="9"/>
            <rFont val="宋体"/>
            <charset val="134"/>
          </rPr>
          <t xml:space="preserve">
对下道工序的影响</t>
        </r>
      </text>
    </comment>
    <comment ref="D19" authorId="1" shapeId="0" xr:uid="{00000000-0006-0000-0100-000010000000}">
      <text>
        <r>
          <rPr>
            <b/>
            <sz val="9"/>
            <rFont val="宋体"/>
            <charset val="134"/>
          </rPr>
          <t>01550:</t>
        </r>
        <r>
          <rPr>
            <sz val="9"/>
            <rFont val="宋体"/>
            <charset val="134"/>
          </rPr>
          <t xml:space="preserve">
该步骤注意失效模式是否能在本工位识别，若不能则统计发生频率时应统计到受影响工位的频率</t>
        </r>
      </text>
    </comment>
    <comment ref="E19" authorId="1" shapeId="0" xr:uid="{00000000-0006-0000-0100-000011000000}">
      <text>
        <r>
          <rPr>
            <b/>
            <sz val="9"/>
            <rFont val="宋体"/>
            <charset val="134"/>
          </rPr>
          <t>01550:</t>
        </r>
        <r>
          <rPr>
            <sz val="9"/>
            <rFont val="宋体"/>
            <charset val="134"/>
          </rPr>
          <t xml:space="preserve">
对下道工序的影响</t>
        </r>
      </text>
    </comment>
    <comment ref="E31" authorId="0" shapeId="0" xr:uid="{00000000-0006-0000-0100-000012000000}">
      <text>
        <r>
          <rPr>
            <sz val="9"/>
            <rFont val="宋体"/>
            <charset val="134"/>
          </rPr>
          <t>01550:
对使用者的影响</t>
        </r>
      </text>
    </comment>
    <comment ref="E32" authorId="0" shapeId="0" xr:uid="{00000000-0006-0000-0100-000013000000}">
      <text>
        <r>
          <rPr>
            <sz val="9"/>
            <rFont val="宋体"/>
            <charset val="134"/>
          </rPr>
          <t>01550:
对使用者的影响</t>
        </r>
      </text>
    </comment>
  </commentList>
</comments>
</file>

<file path=xl/sharedStrings.xml><?xml version="1.0" encoding="utf-8"?>
<sst xmlns="http://schemas.openxmlformats.org/spreadsheetml/2006/main" count="2773" uniqueCount="941">
  <si>
    <r>
      <t xml:space="preserve">失效模式及后果分析（过程FMEA）              </t>
    </r>
    <r>
      <rPr>
        <b/>
        <sz val="10"/>
        <rFont val="黑体"/>
        <family val="3"/>
        <charset val="134"/>
      </rPr>
      <t>FM-7.5.1-162V1.0</t>
    </r>
  </si>
  <si>
    <t xml:space="preserve">                                                         </t>
  </si>
  <si>
    <t>FMEA编号：</t>
  </si>
  <si>
    <t>版本：V3.0</t>
  </si>
  <si>
    <t>修订日期：2016-12-23</t>
  </si>
  <si>
    <t xml:space="preserve">项目名称：AG-633过程分析 </t>
  </si>
  <si>
    <t>过程责任部门：生产技术部</t>
  </si>
  <si>
    <t>预定完成日期：</t>
  </si>
  <si>
    <r>
      <t>小组成员：</t>
    </r>
    <r>
      <rPr>
        <sz val="12"/>
        <color rgb="FFFF0000"/>
        <rFont val="宋体"/>
        <charset val="134"/>
      </rPr>
      <t>IE、PE、QA、PQC</t>
    </r>
  </si>
  <si>
    <t>过程</t>
  </si>
  <si>
    <t>要求</t>
  </si>
  <si>
    <t>潜在的失效模式</t>
  </si>
  <si>
    <t>潜在的失效后果</t>
  </si>
  <si>
    <t>严重度S</t>
  </si>
  <si>
    <t>现行过程</t>
  </si>
  <si>
    <t>风险顺序RPN=S*O*D</t>
  </si>
  <si>
    <t>现行过程评价</t>
  </si>
  <si>
    <t>建议措施</t>
  </si>
  <si>
    <t>责任人</t>
  </si>
  <si>
    <t>措施结果</t>
  </si>
  <si>
    <t>备注</t>
  </si>
  <si>
    <t>潜在的失效起因/机理</t>
  </si>
  <si>
    <t>频率度O</t>
  </si>
  <si>
    <t>现行过程控制</t>
  </si>
  <si>
    <t>不易探测度D</t>
  </si>
  <si>
    <t>采取措施</t>
  </si>
  <si>
    <t>频度数O</t>
  </si>
  <si>
    <t>程序写入</t>
  </si>
  <si>
    <t>程序烧写正确、完整</t>
  </si>
  <si>
    <t xml:space="preserve">1,程序烧写不正确；    </t>
  </si>
  <si>
    <t>A</t>
  </si>
  <si>
    <t>测试不准确</t>
  </si>
  <si>
    <t xml:space="preserve">程序导入错误/不完整                </t>
  </si>
  <si>
    <t xml:space="preserve">1，建立程序导入作业文件；             2,产前培训 ；   3，工装设备使用前点检、定期维护（每三个月）       4，导入程序所需的工具软件首次使用时进行安装确认。                  </t>
  </si>
  <si>
    <t>该失效模式严重度较高会对客户使用造成测试不准确的后果S=4，经查历史数据频率度低0.04%，O=2，但在本工序检出概率很低，只能抽查或后续检测故D=9，会导致风险顺序54，较低，但会严重影响客户使用，故应对过程中程序错误数据进行统计分析。</t>
  </si>
  <si>
    <t>SPC</t>
  </si>
  <si>
    <t>PE</t>
  </si>
  <si>
    <t>关键工序</t>
  </si>
  <si>
    <t>B</t>
  </si>
  <si>
    <t>测试性能不良</t>
  </si>
  <si>
    <t>C</t>
  </si>
  <si>
    <t>客户抱怨</t>
  </si>
  <si>
    <t xml:space="preserve">2.程序烧写不完整；         </t>
  </si>
  <si>
    <t>不开机</t>
  </si>
  <si>
    <t xml:space="preserve">1，程序导入不完整 2，人为操作因素        </t>
  </si>
  <si>
    <t>1，工装设备使用前点检、定期维护（每三个月）；             2，产前培训         3，后道工序（机芯、组装）性能检测</t>
  </si>
  <si>
    <t>该失效模式严重度中等会对客户使用造成麻烦，但无不良后果，但生产过程中会导致后工序浪费时间，S=3，经查历史数据频率度低0.04%，O=2，但在本工序检出概率很低，只能抽查或后续检测故D=9，会导致风险顺序54，较低，但会严重影响客户使用，故应对过程中程序错误数据进行统计分析。</t>
  </si>
  <si>
    <t>无法进行测试</t>
  </si>
  <si>
    <t xml:space="preserve">         3，程序无法写入            </t>
  </si>
  <si>
    <t>无</t>
  </si>
  <si>
    <t xml:space="preserve">1,A，工装设备因素；  B，人为操作因素        2，元器件不良（U1）  </t>
  </si>
  <si>
    <t>该失效模式仅对本工序有影响，故对客户影响很小，S=1，历史数据中不良比例0.02%，O=2，无法写入程序在本工序可以识别，不易探测度D=1。综合风险系数=2，极低，不做额外管控。</t>
  </si>
  <si>
    <t xml:space="preserve">           4，无程序</t>
  </si>
  <si>
    <t xml:space="preserve">人为漏写    </t>
  </si>
  <si>
    <t xml:space="preserve">1，产前培训  ；2，后道工序（机芯、组装）性能检测        </t>
  </si>
  <si>
    <t>该失效模式发生历史数据频率度低，风险顺序27，较低，但会严重影响客户使用，故应对过程中程序错误数据进行统计分析</t>
  </si>
  <si>
    <t>程序烧写验证</t>
  </si>
  <si>
    <t>各项指标符合工艺说明要求</t>
  </si>
  <si>
    <t>1，CRC校验值不对； 2，版本错；</t>
  </si>
  <si>
    <t>测试不准</t>
  </si>
  <si>
    <t>1，工装设备因素；                      2，人为操作失误            3，元器件不良（U1)</t>
  </si>
  <si>
    <r>
      <t>1，工装设备使用前点检、定期维护（每三个月）； 2，产前培训；           3，首件确认          4，后道工序</t>
    </r>
    <r>
      <rPr>
        <sz val="9"/>
        <color rgb="FFFF0000"/>
        <rFont val="宋体"/>
        <charset val="134"/>
      </rPr>
      <t>（机芯、组装、出货）</t>
    </r>
    <r>
      <rPr>
        <sz val="9"/>
        <rFont val="宋体"/>
        <charset val="134"/>
      </rPr>
      <t>性能检测</t>
    </r>
  </si>
  <si>
    <t>该失效模式发生历史数据频率度低，风险顺序18，较低，但会严重影响客户使用，故应对过程中程序错误数据进行统计分析</t>
  </si>
  <si>
    <t>验证异常/无法验证</t>
  </si>
  <si>
    <t>3，不开机</t>
  </si>
  <si>
    <t>1，人为操作失误，漏检                     2，元器件不良（U1)</t>
  </si>
  <si>
    <t>无法验证</t>
  </si>
  <si>
    <t>工装上摆弹簧</t>
  </si>
  <si>
    <t>将弹簧放置到工装上</t>
  </si>
  <si>
    <t>未安装到位</t>
  </si>
  <si>
    <t>人为操作</t>
  </si>
  <si>
    <t xml:space="preserve">1，专治工装进行控制；           2，工装设备使用前点检、定期维护（每三个月）； </t>
  </si>
  <si>
    <t>该失效模式发生历史数据频率度低，风险顺序28，较低，不改变现有控制方式</t>
  </si>
  <si>
    <t>插件工艺工程师</t>
  </si>
  <si>
    <t>一般工序</t>
  </si>
  <si>
    <t>无法焊接或组装干涉</t>
  </si>
  <si>
    <t>工装上摆弹片</t>
  </si>
  <si>
    <t>将弹片放置到工装上</t>
  </si>
  <si>
    <t>专治工装进行控制</t>
  </si>
  <si>
    <t>工装上基板</t>
  </si>
  <si>
    <t>将基板放置到工板上</t>
  </si>
  <si>
    <t>焊弹簧</t>
  </si>
  <si>
    <t>焊点圆滑、饱满，不可虚焊、拉尖、烫坏焊盘</t>
  </si>
  <si>
    <t>漏焊，焊点不饱满 ；焊点大，拉尖；烫坏元件（R6、R9）/焊盘；残留锡珠锡渣</t>
  </si>
  <si>
    <t>相应功能失效</t>
  </si>
  <si>
    <t>1，人为操作；          2，设备因素</t>
  </si>
  <si>
    <t>1，产前培训；  2，恒温烙铁使用前点检，使用过程中每2小时检查一下烙铁温度；             3，首件检验（检验焊接外观、拉力测试等项目）              4，后道工序（机芯、组装、出货）性能检测</t>
  </si>
  <si>
    <t>特殊工序</t>
  </si>
  <si>
    <t>组装干涉或相关元件失效</t>
  </si>
  <si>
    <t>焊弹片</t>
  </si>
  <si>
    <t>1，产前培训；  2，恒温烙铁使用前点检，使用过程中每2小时检查一下烙铁温度；             铁温度；             3，首件检验（检验焊接外观、拉力测试等项目）         4，后道工序（机芯、组装、出货）性能检测</t>
  </si>
  <si>
    <t>下工装</t>
  </si>
  <si>
    <t>将机芯从工装上取下</t>
  </si>
  <si>
    <t>碰坏边缘元件</t>
  </si>
  <si>
    <t>1，产前培训；   2，工装使用前点检</t>
  </si>
  <si>
    <t>性能不良</t>
  </si>
  <si>
    <t>插热敏电阻</t>
  </si>
  <si>
    <t>插件平贴PCB</t>
  </si>
  <si>
    <t>未平贴PCB</t>
  </si>
  <si>
    <t>产前培训</t>
  </si>
  <si>
    <t>装配干涉/电阻损坏</t>
  </si>
  <si>
    <t>焊热敏电阻</t>
  </si>
  <si>
    <t>漏焊，焊点不饱满 ；焊点大，拉尖；烫坏元件（R6、R9、RC2）/焊盘；残留锡珠锡渣</t>
  </si>
  <si>
    <r>
      <t>1，产前培训；  2，恒温烙铁使用前点检，使用过程中每2小时检查一下烙铁温度；              3，首件检验（元器件正确性、焊接外观、拉力测试）4，</t>
    </r>
    <r>
      <rPr>
        <sz val="9"/>
        <color rgb="FFFF0000"/>
        <rFont val="宋体"/>
        <charset val="134"/>
      </rPr>
      <t>后道工序（机芯、组装、出货）性能检测</t>
    </r>
  </si>
  <si>
    <t>元件失效</t>
  </si>
  <si>
    <t>剪腿</t>
  </si>
  <si>
    <t>焊点平整，不可损坏管脚</t>
  </si>
  <si>
    <t>焊点不平整元件管脚损坏（R9、R6、RC2、RT1）</t>
  </si>
  <si>
    <t>1，产前培训；  2，剪钳控制方式(每六个月更换一次）           3，首件确认（焊接外观、拉力测试）4，后道工序（机芯、组装、出货）性能检测</t>
  </si>
  <si>
    <t>装配干涉 /性能测试失效</t>
  </si>
  <si>
    <t>机芯调试</t>
  </si>
  <si>
    <t>零点值、高值、低值等指标合格。</t>
  </si>
  <si>
    <t>1，指标超差（标准值、高值、低值）           2，漏标</t>
  </si>
  <si>
    <t>测量指标不准</t>
  </si>
  <si>
    <t>1，人为操作,             2，工装设备因素（定位不准导致接触不良、PCB变形等）          3，元件失效（U2、R19、R21、R22、C10、C13、C14等）</t>
  </si>
  <si>
    <r>
      <t>1，产前培训；         2，专用工装，使用前点检，每三个月进行定期维护保养 ；         3，专用托盘盛放PCB，PCB不能堆积；    4，PQC首件（按作业文件进行检验高低值、软件版本信息，CRC校验码），5，</t>
    </r>
    <r>
      <rPr>
        <sz val="9"/>
        <color rgb="FFFF0000"/>
        <rFont val="宋体"/>
        <charset val="134"/>
      </rPr>
      <t xml:space="preserve">组装全检机器性能，出货抽检（抽检方案见各车间质量控制流程）   </t>
    </r>
    <r>
      <rPr>
        <sz val="9"/>
        <rFont val="宋体"/>
        <charset val="134"/>
      </rPr>
      <t xml:space="preserve">  </t>
    </r>
  </si>
  <si>
    <t>车间工艺工程师</t>
  </si>
  <si>
    <t>测试指标超差</t>
  </si>
  <si>
    <t>ID号写入</t>
  </si>
  <si>
    <t>ID号写入符合制造令要求</t>
  </si>
  <si>
    <t>产品相应功能不良</t>
  </si>
  <si>
    <t>1，人为操作；            2，工装设备因素；           3，元器件不良（U1、U4）</t>
  </si>
  <si>
    <t>1，产前培训；         2，专用工装，使用前点检，每三个月进行定期维护保养 ；             3，PQC首件（按作业文件进行检验高低值、软件版本信息，CRC校验码）</t>
  </si>
  <si>
    <t>产品相应性能测试不良</t>
  </si>
  <si>
    <t>丝印透镜</t>
  </si>
  <si>
    <t>内容齐全，无遗漏现象。颜色一致无色差。</t>
  </si>
  <si>
    <t>漏印刷/字体不完整（断线），印错内容，颜色不一致，耐摩擦性能不合格</t>
  </si>
  <si>
    <t>抱怨</t>
  </si>
  <si>
    <t>1，油墨因素；             2，透镜因素；       3，工装设备因素</t>
  </si>
  <si>
    <r>
      <t>1，产前培训；              2，首件+巡检（</t>
    </r>
    <r>
      <rPr>
        <sz val="9"/>
        <color rgb="FFFF0000"/>
        <rFont val="宋体"/>
        <charset val="134"/>
      </rPr>
      <t>是否符合工艺要求</t>
    </r>
    <r>
      <rPr>
        <sz val="9"/>
        <rFont val="宋体"/>
        <charset val="134"/>
      </rPr>
      <t>）  3，工装设备使用前点检，每三个月进行维护保养一次；  4，组装全检外观、</t>
    </r>
    <r>
      <rPr>
        <sz val="9"/>
        <color rgb="FFFF0000"/>
        <rFont val="宋体"/>
        <charset val="134"/>
      </rPr>
      <t>出货抽检</t>
    </r>
  </si>
  <si>
    <t>产品外观不良</t>
  </si>
  <si>
    <t>贴膜</t>
  </si>
  <si>
    <t>贴边整齐无褶皱</t>
  </si>
  <si>
    <t>帖膜不到位</t>
  </si>
  <si>
    <t>1，产前培训；              2，首件+巡检（是否符合工艺要求）</t>
  </si>
  <si>
    <t>外观划磨伤</t>
  </si>
  <si>
    <t>丝印上盖</t>
  </si>
  <si>
    <r>
      <t>1，产前培训；              2，首件+巡检（</t>
    </r>
    <r>
      <rPr>
        <sz val="9"/>
        <color rgb="FFFF0000"/>
        <rFont val="宋体"/>
        <charset val="134"/>
      </rPr>
      <t>是否符合工艺要求</t>
    </r>
    <r>
      <rPr>
        <sz val="9"/>
        <rFont val="宋体"/>
        <charset val="134"/>
      </rPr>
      <t>）  3，工装设备使用前点检，每三个月进行维护保养一次 4，组装全检外观、出货抽检</t>
    </r>
  </si>
  <si>
    <t>开箱取上盖</t>
  </si>
  <si>
    <t>拆箱过程中不允许损坏上盖</t>
  </si>
  <si>
    <t>造成上盖外观不良</t>
  </si>
  <si>
    <t xml:space="preserve">人为操作  </t>
  </si>
  <si>
    <t>1，产前培训；              2，首件+巡检（是否符合工艺要求）巡检项目确定？？？</t>
  </si>
  <si>
    <t>上盖外观不良</t>
  </si>
  <si>
    <t>镭雕</t>
  </si>
  <si>
    <t>内容正确，外观正常</t>
  </si>
  <si>
    <t>内容不正确，外观不良</t>
  </si>
  <si>
    <t>1，产前培训，  2，专用工装、设备参数固定（使用前点检，每三个月维护保养一次）；     3，首件+巡检（是否符合工艺要求：字迹是否清晰、内容、位置是否正确）              4，组装全检外观、出货抽检</t>
  </si>
  <si>
    <t>上盖粘双面胶</t>
  </si>
  <si>
    <t xml:space="preserve">粘贴位置正确，固定牢靠 </t>
  </si>
  <si>
    <t>粘贴位置错误，固定不牢靠</t>
  </si>
  <si>
    <t>按键手感不良</t>
  </si>
  <si>
    <t xml:space="preserve">1，人为操作            2，物料原因  </t>
  </si>
  <si>
    <t>1，产前培训，  2，首件+巡检（是否符合工艺要求：位置是否正确、是否粘贴牢固）</t>
  </si>
  <si>
    <t>开箱取电池盖</t>
  </si>
  <si>
    <t>1，产前培训，  2，首件+巡检（是否符合工艺要求：是否佩戴手套、是否有堆积）</t>
  </si>
  <si>
    <t>电池盖粘双面胶</t>
  </si>
  <si>
    <t>粘贴位置错误</t>
  </si>
  <si>
    <t>1，产前培训，  2，首件+巡检（位置是否正确、是否粘贴牢固）</t>
  </si>
  <si>
    <t>固定不牢靠</t>
  </si>
  <si>
    <t>下排</t>
  </si>
  <si>
    <t>下排过程中不可损坏下盖</t>
  </si>
  <si>
    <t>造成下盖外观不良</t>
  </si>
  <si>
    <t>1，产前培训，  2，首件+巡检（是否符合工艺要求：是否佩戴手套、码放方式是否正确）</t>
  </si>
  <si>
    <t>下盖外观不良</t>
  </si>
  <si>
    <t>焊线</t>
  </si>
  <si>
    <t>虚焊</t>
  </si>
  <si>
    <t>1，首件检验；  2，产前培训，持证上岗；               3，恒温烙铁使用前点检，使用过程中每2小时检查一下烙铁温度；                 4，组装、出货检验性能</t>
  </si>
  <si>
    <t>顺线摆机芯</t>
  </si>
  <si>
    <t>顺线不到位</t>
  </si>
  <si>
    <t>1，顺线压,     2，壳体侧面压线</t>
  </si>
  <si>
    <t>1，人为操作；     2，设计限制</t>
  </si>
  <si>
    <t xml:space="preserve">1，首件检验；  2，产前培训       </t>
  </si>
  <si>
    <t>装配干涉，性能不良</t>
  </si>
  <si>
    <t>合壳</t>
  </si>
  <si>
    <t>合壳缝隙合格</t>
  </si>
  <si>
    <t>合壳缝隙超差</t>
  </si>
  <si>
    <t>1，人为操作,      2，物料因素</t>
  </si>
  <si>
    <t>合壳缝隙大</t>
  </si>
  <si>
    <t>打螺钉</t>
  </si>
  <si>
    <t>螺钉打到位，无易扣、松动</t>
  </si>
  <si>
    <t>螺钉松动、易扣</t>
  </si>
  <si>
    <t>人为操作
工装设备因素</t>
  </si>
  <si>
    <t>1，产前培训；  2，电动螺丝起子使用前点检，使用过程中每4小时检查一下力矩</t>
  </si>
  <si>
    <t>开机检验</t>
  </si>
  <si>
    <t>各项指标符合标准要求</t>
  </si>
  <si>
    <t>信息内容不正确</t>
  </si>
  <si>
    <t>1，产前培训；  2，工装首次使用前进行安装确认，每次使用前进行点检；              &amp;全检</t>
  </si>
  <si>
    <t>此步骤取消，原因：后续性能检验可以避免该检验想避免的问题</t>
  </si>
  <si>
    <t>装透镜</t>
  </si>
  <si>
    <t>透镜组装到位，无杂质、异物等。</t>
  </si>
  <si>
    <t>1，透镜未组装到位；  2，透镜膜划伤破损等缺陷</t>
  </si>
  <si>
    <t xml:space="preserve">1，人为操作            2，物料原因         3，工装因素  </t>
  </si>
  <si>
    <t>1，产前培训；  2，工装每次使用前进行点检；              &amp;全检外观</t>
  </si>
  <si>
    <t>透镜外观不良</t>
  </si>
  <si>
    <t>短路测试</t>
  </si>
  <si>
    <t>1，人为操作；     2，工装因素；           3，元器件因素</t>
  </si>
  <si>
    <t>此步骤取消，原因：后续性能检验都可以测试到耳机性能问题</t>
  </si>
  <si>
    <t>示值误差</t>
  </si>
  <si>
    <r>
      <t xml:space="preserve">1.1-4,9标志位全为1
2.CRC校验、版本值正确
3.高低值在要求范围内         </t>
    </r>
    <r>
      <rPr>
        <sz val="9"/>
        <color rgb="FFFF0000"/>
        <rFont val="宋体"/>
        <charset val="134"/>
      </rPr>
      <t>4，模拟测试功能正常</t>
    </r>
  </si>
  <si>
    <t>1，1-4,9标志位为0；           2，CRC校验、版本值不正确；    3，高低值超范围          4，模拟测试不正常</t>
  </si>
  <si>
    <t>产品测量不准</t>
  </si>
  <si>
    <t>1，人为操作；       2，程序烧写出错； 3，质控条出现损伤；元器件失效（U2、R19、R21、R22、C10、C13、C14，耳机等）           4，漏检</t>
  </si>
  <si>
    <r>
      <t>1，产前培训；  2，前道（邦定）控制                      3，质控卡每使用</t>
    </r>
    <r>
      <rPr>
        <sz val="9"/>
        <color rgb="FFFF0000"/>
        <rFont val="宋体"/>
        <charset val="134"/>
      </rPr>
      <t>50</t>
    </r>
    <r>
      <rPr>
        <sz val="9"/>
        <rFont val="宋体"/>
        <charset val="134"/>
      </rPr>
      <t>次更换一个                    4，全检</t>
    </r>
  </si>
  <si>
    <t>功能测试不良</t>
  </si>
  <si>
    <t>性能测试</t>
  </si>
  <si>
    <t>1.漏电流：0mA
2.ID号合格范围：2014-11-27至今
3.能正常进行测量，并显示“认证成功”(认证成功仅限机器与IOS设备首次测试时显示)
4.工作电流：0.5mA～7mA
5.IOS显示低电提示-“下位机出现系统错误00”
6.电池簧片需与电池接触良好，无明显变形，无异物，无划伤，电池弹簧无明显变形。</t>
  </si>
  <si>
    <t>1，电流超差；         2，ID异常；3，无法正常测量或认证失败；      4，低电测试异常；   5，弹片、弹簧外观不良</t>
  </si>
  <si>
    <t>1，测试卡失效；            2，工装设备因素            3，元器件不良（D2、D4、Q4、Q7、耳机） 4，漏检</t>
  </si>
  <si>
    <t>1，工装使用前点检，每三个月维护保养一次；          2，产前培训    3，全检性能；  4，出货检验</t>
  </si>
  <si>
    <t>安装电池</t>
  </si>
  <si>
    <t>未组装到位</t>
  </si>
  <si>
    <t>产品无法开机</t>
  </si>
  <si>
    <t xml:space="preserve">1，工装使用前点检，每三个月维护保养一次；          2，产前培训    3，全检性能；  4，出货检验 </t>
  </si>
  <si>
    <t>外观不良</t>
  </si>
  <si>
    <t>组件组装</t>
  </si>
  <si>
    <t xml:space="preserve">组装到位 </t>
  </si>
  <si>
    <t xml:space="preserve">1，工装使用前点检，每三个月维护保养一次；          2，产前培训    3，全检外观；  4，出货检验 </t>
  </si>
  <si>
    <t>装硅胶套</t>
  </si>
  <si>
    <t xml:space="preserve">1，产前培训    2，出货检验 </t>
  </si>
  <si>
    <t>塑料袋装包装盒扣盖</t>
  </si>
  <si>
    <t>包装盒摆放位置方向塑料袋数量应正确</t>
  </si>
  <si>
    <t>包装盒摆放方向错误</t>
  </si>
  <si>
    <t>1，产前培训，  2，首件确认，  3，巡检            4，出货检验</t>
  </si>
  <si>
    <t>塑料袋数量错误</t>
  </si>
  <si>
    <t>内包装袋装包装盒</t>
  </si>
  <si>
    <t xml:space="preserve">内包装袋装包装盒方向应一致。 </t>
  </si>
  <si>
    <t>方向不一致</t>
  </si>
  <si>
    <t>1，产前培训，  2，首件确认，  3，巡检                4，出货检验</t>
  </si>
  <si>
    <t>采血针装包装盒</t>
  </si>
  <si>
    <t>采血针摆放位置方向应正确。</t>
  </si>
  <si>
    <t>1，产前培训，  2，首件确认，  3，巡检           4，出货检验</t>
  </si>
  <si>
    <t>电池装塑料袋封口</t>
  </si>
  <si>
    <t>电池装塑料袋应一致，袋内无异物</t>
  </si>
  <si>
    <t>有异物</t>
  </si>
  <si>
    <t>电池装包装盒</t>
  </si>
  <si>
    <t>电池装包装盒方向顺序应一致</t>
  </si>
  <si>
    <t>顺序方向不一致</t>
  </si>
  <si>
    <t>硅胶套装包装盒</t>
  </si>
  <si>
    <t>硅胶套装包装盒位置方向应正确</t>
  </si>
  <si>
    <t>位置不一致</t>
  </si>
  <si>
    <t xml:space="preserve">1，产前培训，  2，首件确认，  3，巡检          4，出货检验    </t>
  </si>
  <si>
    <t>笔盖装包装盒</t>
  </si>
  <si>
    <t>笔盖装包装盒方向应正确</t>
  </si>
  <si>
    <t>方向不统一</t>
  </si>
  <si>
    <t>试纸有效期符合要求</t>
  </si>
  <si>
    <t>不符合要求</t>
  </si>
  <si>
    <t>物料因素</t>
  </si>
  <si>
    <t>纸浆盒粘贴标签</t>
  </si>
  <si>
    <t>标签粘帖良好，外观正常</t>
  </si>
  <si>
    <t>标签粘帖不良，外观不良</t>
  </si>
  <si>
    <t>1，产前培训，  2，首件确认，  3，巡检             4，出货检验</t>
  </si>
  <si>
    <t>纸浆盒装包装盒</t>
  </si>
  <si>
    <t>纸浆盒放置方向应统一平整，</t>
  </si>
  <si>
    <t xml:space="preserve">1，产前培训，  2，首件确认，  3，巡检          4，出货检验      </t>
  </si>
  <si>
    <t>粘贴保护膜</t>
  </si>
  <si>
    <t>透镜膜不可有划伤破损等缺陷</t>
  </si>
  <si>
    <t>透镜膜划伤破损等缺陷</t>
  </si>
  <si>
    <t>人为操作/物料因素</t>
  </si>
  <si>
    <t>粘贴保护膜不可翘起有褶皱手印等缺陷，方向正确统一</t>
  </si>
  <si>
    <t>保护膜有翘起，方向不一致</t>
  </si>
  <si>
    <t>整机装包装盒</t>
  </si>
  <si>
    <t>整机装入包装盒方向应正确一致。</t>
  </si>
  <si>
    <t>整机方向不一致</t>
  </si>
  <si>
    <t>采血笔装包装盒</t>
  </si>
  <si>
    <t>采血笔摆放位置方向应正确</t>
  </si>
  <si>
    <t>1，位置不正确；            2，采血笔不良</t>
  </si>
  <si>
    <t xml:space="preserve">人为操作/物料因素  </t>
  </si>
  <si>
    <t>说明书组合</t>
  </si>
  <si>
    <t>说明书表面不可有划伤咯伤脏污破损印刷不良等缺陷</t>
  </si>
  <si>
    <t>表面不可有划伤咯伤脏污破损印刷不良</t>
  </si>
  <si>
    <t>说明书等物料顺序排列应正确</t>
  </si>
  <si>
    <t>顺序排列不正确</t>
  </si>
  <si>
    <t>说明书组件装包装盒</t>
  </si>
  <si>
    <t>说明书组件装包装盒方向顺序应一致</t>
  </si>
  <si>
    <t>顺序不一致</t>
  </si>
  <si>
    <t xml:space="preserve">人为操作 /物料因素   </t>
  </si>
  <si>
    <t>包装盒扣盖</t>
  </si>
  <si>
    <t>包装盒不可有破损褶皱，撕裂等缺陷，插合应平整到位</t>
  </si>
  <si>
    <t>有破损褶皱，撕裂等缺陷</t>
  </si>
  <si>
    <t>插合不平整到位</t>
  </si>
  <si>
    <t xml:space="preserve">人为操作  /物料因素  </t>
  </si>
  <si>
    <t>挂片粘贴双面胶</t>
  </si>
  <si>
    <t>挂片表面，不可有划有褶皱手印等缺陷，双面胶应粘贴到位。</t>
  </si>
  <si>
    <t>粘贴不平整</t>
  </si>
  <si>
    <t>彩包装有破损褶皱，撕裂等缺陷</t>
  </si>
  <si>
    <t>彩包装粘贴挂片</t>
  </si>
  <si>
    <t>挂片粘贴应到位，不可有划伤手印等缺陷</t>
  </si>
  <si>
    <t>有缺陷</t>
  </si>
  <si>
    <t>包装盒装彩盒套</t>
  </si>
  <si>
    <t>安装到位</t>
  </si>
  <si>
    <t>彩包装粘贴QC签</t>
  </si>
  <si>
    <t>标签粘贴位置应统一正确，粘贴应平整</t>
  </si>
  <si>
    <t>标签粘贴位置应不统一正确</t>
  </si>
  <si>
    <t>彩包装粘贴标签</t>
  </si>
  <si>
    <t>标签粘贴位置应统一正确，粘贴应平整。</t>
  </si>
  <si>
    <t>:标签粘贴位置应统一正确，粘贴应平整。</t>
  </si>
  <si>
    <t>标签粘贴的位置应正确，不可有脏污破损手印以及毛屑毛发等</t>
  </si>
  <si>
    <t>标签粘贴的位置不正确</t>
  </si>
  <si>
    <t>彩包装下外箱</t>
  </si>
  <si>
    <t>彩包装摆放方向数量应正确统一，外箱内侧不可附着毛发异物等</t>
  </si>
  <si>
    <t>彩包装摆放方向数量不正确统一</t>
  </si>
  <si>
    <t>封外箱下盖/写箱号</t>
  </si>
  <si>
    <t>箱号字迹应清晰正确，箱号不可重复</t>
  </si>
  <si>
    <t>字迹不清晰，重号</t>
  </si>
  <si>
    <t>溯源不良</t>
  </si>
  <si>
    <t>封外箱上盖</t>
  </si>
  <si>
    <t>胶带完全粘贴到外箱上，胶带不可翘起</t>
  </si>
  <si>
    <t>胶带粘贴不平整</t>
  </si>
  <si>
    <t>外箱摆盘</t>
  </si>
  <si>
    <t>摆放数量应统一</t>
  </si>
  <si>
    <t>数量不一致</t>
  </si>
  <si>
    <r>
      <t xml:space="preserve">                PT9L红外体温计失效模式及后果分析（过程FMEA）                </t>
    </r>
    <r>
      <rPr>
        <b/>
        <sz val="8"/>
        <rFont val="黑体"/>
        <family val="3"/>
        <charset val="134"/>
      </rPr>
      <t>KQR-7.5.1-04-01/A1</t>
    </r>
    <r>
      <rPr>
        <b/>
        <sz val="10"/>
        <rFont val="黑体"/>
        <family val="3"/>
        <charset val="134"/>
      </rPr>
      <t xml:space="preserve"> </t>
    </r>
  </si>
  <si>
    <t>FMEA编号：PF-PT9L-01</t>
  </si>
  <si>
    <t>版本：1.0</t>
  </si>
  <si>
    <t>修订日期：2024-6-20</t>
  </si>
  <si>
    <t xml:space="preserve">项目名称：PT9L过程分析 </t>
  </si>
  <si>
    <t>过程责任部门：工程部</t>
  </si>
  <si>
    <t>预定完成日期：2024.6.20</t>
  </si>
  <si>
    <t>小组成员：孟兆君、崔国明、肖桂国、张勋</t>
  </si>
  <si>
    <t>责任人及目标完成日期</t>
  </si>
  <si>
    <t>顾客</t>
  </si>
  <si>
    <t>对顾客的影响</t>
  </si>
  <si>
    <t>现行工艺控制</t>
  </si>
  <si>
    <t>频度O</t>
  </si>
  <si>
    <t>放基板</t>
  </si>
  <si>
    <t>PCB版次物料编码符合BOM要求</t>
  </si>
  <si>
    <t>PCB版次物料编码与BOM要求不一致</t>
  </si>
  <si>
    <t>影响邦定</t>
  </si>
  <si>
    <t>人为操作因素</t>
  </si>
  <si>
    <t>首件确认</t>
  </si>
  <si>
    <t>风险可控</t>
  </si>
  <si>
    <t>接触PCB和元器件时，须佩戴防静电手套</t>
  </si>
  <si>
    <t>接触PCB和元器件时，未佩戴防静电手套</t>
  </si>
  <si>
    <t>元器件被静电损坏</t>
  </si>
  <si>
    <t>PCB位置放置正确</t>
  </si>
  <si>
    <t>PCB位置放置不正确</t>
  </si>
  <si>
    <t>影响擦板</t>
  </si>
  <si>
    <t>人为操作因素
工装设备因素</t>
  </si>
  <si>
    <t>产前培训；
后道工序控制</t>
  </si>
  <si>
    <t>PCB和元器件无破损缺失</t>
  </si>
  <si>
    <t>PCB或元器件破损缺失</t>
  </si>
  <si>
    <t>人为操作因素
物料运输轨道设置不合理</t>
  </si>
  <si>
    <t>1、产前培训；
2、后道工序控制
3、工装设备使用前点检、定期维护；</t>
  </si>
  <si>
    <t>喷码</t>
  </si>
  <si>
    <t>喷码文字清晰、可识别；编码原则符合工艺要求</t>
  </si>
  <si>
    <t>编码原则不符合工艺要求</t>
  </si>
  <si>
    <t>无法溯源
机芯混淆</t>
  </si>
  <si>
    <t xml:space="preserve">人为操作因素                </t>
  </si>
  <si>
    <t>设备进行IQ/OQ/PQ进行验证，能够连续地产出符合预定要求的结果或产品</t>
  </si>
  <si>
    <t>工艺工程师/详见IQ/OQ/PO完成日期</t>
  </si>
  <si>
    <t>细化各型号喷码参数，由工程师/技术员设置</t>
  </si>
  <si>
    <t>文字不清、无法识别</t>
  </si>
  <si>
    <t>人为操作因素              工装设备因素</t>
  </si>
  <si>
    <t>分板</t>
  </si>
  <si>
    <t>接触PCB和元器件时，须佩戴防静电手套，静电手腕带</t>
  </si>
  <si>
    <t>接触PCB和元器件时，未佩戴防静电手套，静电手腕带</t>
  </si>
  <si>
    <t>产前培训
首件确认
后道工序控制</t>
  </si>
  <si>
    <t>1.程序烧写不正确</t>
  </si>
  <si>
    <t>性能测试不良</t>
  </si>
  <si>
    <t>1.程序导入错误、不完整
2.人为操作因素错误
3.工装设备因素</t>
  </si>
  <si>
    <t>1.建立程序导入作业文件；             2.产前培训 ；
3.工装设备使用前点检、定期维护
5.首件确认
6.后工序确认</t>
  </si>
  <si>
    <t>2.程序烧写不完整</t>
  </si>
  <si>
    <t>1.程序导入错误、不完整
2.工装设备因素</t>
  </si>
  <si>
    <t xml:space="preserve">3.程序无法写入            </t>
  </si>
  <si>
    <t xml:space="preserve">1.程序导入错误、不完整
2.工装设备因素
3.元器件不良  </t>
  </si>
  <si>
    <t>4.无程序</t>
  </si>
  <si>
    <t>1.人为漏写
2.工装设备因素</t>
  </si>
  <si>
    <t>邦定检测</t>
  </si>
  <si>
    <t>工装LED等显示正确</t>
  </si>
  <si>
    <t>工装LED灯不亮</t>
  </si>
  <si>
    <t>测量不准确</t>
  </si>
  <si>
    <t>人为操作因素                元器件不良</t>
  </si>
  <si>
    <t>1.工装设备使用前点检、定期维护；              2.产前培训；           3.首件确认+全检          4.整机组装工序全检测试</t>
  </si>
  <si>
    <t xml:space="preserve">休眠电流：0.00mA ≤ I ≤ 0.050mA
</t>
  </si>
  <si>
    <t>休眠电流超标</t>
  </si>
  <si>
    <t>电池耗电快</t>
  </si>
  <si>
    <t>工装设备因素
元器件不良</t>
  </si>
  <si>
    <t>装盘</t>
  </si>
  <si>
    <t>PCB外观完好、无损伤、无堆叠</t>
  </si>
  <si>
    <t>PCB损坏</t>
  </si>
  <si>
    <t>1.产前培训；
2.首件确认
3.整机组装工序全检测试</t>
  </si>
  <si>
    <t>探头传感器剪脚</t>
  </si>
  <si>
    <t>剪脚后高度平整且符合要求，不可损坏管脚</t>
  </si>
  <si>
    <t>PIN脚高影响装配</t>
  </si>
  <si>
    <t xml:space="preserve">装配干涉 </t>
  </si>
  <si>
    <t>1.产前培训；        2.剪钳控制方式(至少每六个月更换一次）           
3.首件确认         4.后工序性能全检
5.目视全检</t>
  </si>
  <si>
    <t>PIN脚矮，损伤焊点</t>
  </si>
  <si>
    <t xml:space="preserve">性能不良 </t>
  </si>
  <si>
    <t>元器件损坏</t>
  </si>
  <si>
    <t>装探头</t>
  </si>
  <si>
    <t>传感器凸点完全剪掉</t>
  </si>
  <si>
    <t>未完全剪掉</t>
  </si>
  <si>
    <t>影响装配
后工序装配过程导致镜片碎裂</t>
  </si>
  <si>
    <t xml:space="preserve">人为操作因素               </t>
  </si>
  <si>
    <t>1.产前培训；      
2.首件确认；
3.后工序性能全检</t>
  </si>
  <si>
    <t>镜片无损伤、脏污、异物、划伤</t>
  </si>
  <si>
    <t>镜片损伤、脏污、异物、划伤</t>
  </si>
  <si>
    <t>性能不良
影响温度测试精度</t>
  </si>
  <si>
    <t>探头铆压</t>
  </si>
  <si>
    <t>压合后高度：14.1±0.1mm；</t>
  </si>
  <si>
    <t>高度超差</t>
  </si>
  <si>
    <t>人为操作因素                工装设备因素</t>
  </si>
  <si>
    <t>1.工装设备使用前点检、定期维护；              2.产前培训；           3.首件确认          4.后工序性能全检</t>
  </si>
  <si>
    <t>压合后传感器、散热套无松动现象；</t>
  </si>
  <si>
    <t>传感器、散热套松动现象；</t>
  </si>
  <si>
    <t>传感器腿无粘连，弯曲</t>
  </si>
  <si>
    <t>粘连、弯曲</t>
  </si>
  <si>
    <t>影响后工序组装</t>
  </si>
  <si>
    <t>1.产前培训；      
2.首件确认；</t>
  </si>
  <si>
    <t>探头打导热硅脂</t>
  </si>
  <si>
    <t>硅脂净重≥0.02克</t>
  </si>
  <si>
    <t>硅脂多，溢出到散热金属套内壁</t>
  </si>
  <si>
    <t>产品基本功能丧失/失准</t>
  </si>
  <si>
    <t>1.产前培训；
2.专用工装.使用前点检.进行定期维护保养 ；          
3.首件确认；
4.后工序性能全检</t>
  </si>
  <si>
    <t>硅脂少</t>
  </si>
  <si>
    <t>点硅脂位置正确</t>
  </si>
  <si>
    <t>点硅胶位置错误</t>
  </si>
  <si>
    <t>硅脂在有效期内</t>
  </si>
  <si>
    <t>硅脂过效期</t>
  </si>
  <si>
    <t>人为操作因素
物料因素</t>
  </si>
  <si>
    <t>插探头到PCB</t>
  </si>
  <si>
    <t>1、传感器标识金色腿必须插入传感器板标识“4”孔内。
2、传感器板平贴探头</t>
  </si>
  <si>
    <t>金腿没有插入“4”孔</t>
  </si>
  <si>
    <t>1.产前培训；
2.首件确认；
3.后工序性能全检</t>
  </si>
  <si>
    <t>PCB紧贴压块两者之间无缝隙</t>
  </si>
  <si>
    <t xml:space="preserve">人为操作因素              </t>
  </si>
  <si>
    <t>探头PCB焊传感器</t>
  </si>
  <si>
    <t>焊接位置正确</t>
  </si>
  <si>
    <t>焊接位置错误</t>
  </si>
  <si>
    <t>1.产前培训；
2.工装设备使用前点检、定期维护          3.首件确认                 4.后工序性能全检</t>
  </si>
  <si>
    <t>形成的产品是否为良品不易、不能经济地进行验证</t>
  </si>
  <si>
    <t>特殊工序过程控制</t>
  </si>
  <si>
    <t>1、焊接时间及温度细化到作业指导书内
2、烙铁温度细化到点检表中，生产时每间隔2小时进行一次温度点检</t>
  </si>
  <si>
    <t>焊点圆滑、饱满；未烫伤其他元器件及焊盘</t>
  </si>
  <si>
    <t>焊盘损坏、烫伤元器件</t>
  </si>
  <si>
    <t>无法焊接
其他功能缺失</t>
  </si>
  <si>
    <t>探头剪脚</t>
  </si>
  <si>
    <t>探头PCB镀锡</t>
  </si>
  <si>
    <t>锡点小</t>
  </si>
  <si>
    <t>后工序无法焊线</t>
  </si>
  <si>
    <t>1.产前培训； 
2.工装设备使用前点检、定期维护；             3.首件确认          4.后工序确认</t>
  </si>
  <si>
    <t>锡点大</t>
  </si>
  <si>
    <t>连焊</t>
  </si>
  <si>
    <t>镀锡位置正确</t>
  </si>
  <si>
    <t>镀锡位置错误</t>
  </si>
  <si>
    <t>探头PCB分板</t>
  </si>
  <si>
    <t>探头PCB焊线</t>
  </si>
  <si>
    <t>性能不良
产品基本功能丧失/失准</t>
  </si>
  <si>
    <t xml:space="preserve">1.产前培训；
2.工装设备使用前点检、定期维护                        4.首件确认（是否符合工艺要求）                 4.后工序性能测试全检确认 </t>
  </si>
  <si>
    <t xml:space="preserve">1、焊接时间及温度细化到作业指导书内
2、烙铁温度细化到点检表中，生产时每间隔2小时进行一次温度点检
</t>
  </si>
  <si>
    <t>焊接过程未烫伤其他元器件及焊盘</t>
  </si>
  <si>
    <t>连接线露出长度符合要求</t>
  </si>
  <si>
    <t>铜线露出过长，接触PCB板及其他元器件</t>
  </si>
  <si>
    <t>无虚焊，漏焊，连焊、焊点圆滑、饱满</t>
  </si>
  <si>
    <t>涂三防漆</t>
  </si>
  <si>
    <t>1、三防漆涂抹均匀。
2、三防漆完全覆盖传感器的四个焊点</t>
  </si>
  <si>
    <t>涂抹不均匀</t>
  </si>
  <si>
    <t>人为操作因素
毛刷损坏</t>
  </si>
  <si>
    <t>1.产前培训；
2.首件确认；
3.后道工序控制</t>
  </si>
  <si>
    <t>未覆盖传感器四个焊点</t>
  </si>
  <si>
    <t>三防漆在有效期内</t>
  </si>
  <si>
    <t>三防漆过效期</t>
  </si>
  <si>
    <t>下排静置</t>
  </si>
  <si>
    <t>1、码放平稳整齐。
2、静置时间≥24小时</t>
  </si>
  <si>
    <t>放置不平稳、整齐</t>
  </si>
  <si>
    <t>后工序组装困难，探头粘连</t>
  </si>
  <si>
    <t>三防漆失效，产品性能不良
产品基本功能丧失/失准</t>
  </si>
  <si>
    <t>静置时间小于24小时</t>
  </si>
  <si>
    <t>主板镀锡</t>
  </si>
  <si>
    <t>1.产前培训； 
2.工装设备使用前点检、定期维护；
3.恒温烙铁使用前点检.使用过程中每2小时检查一下烙铁温度；             4.首件确认          5.后工序确认</t>
  </si>
  <si>
    <t>1、焊接时间及温度细化到作业指导书内
2、烙铁温度细化到点检表中，生产时每间隔4小时进行一次点检</t>
  </si>
  <si>
    <t>无法焊接</t>
  </si>
  <si>
    <t>焊正极弹簧</t>
  </si>
  <si>
    <t>线头不可露铜、拉尖</t>
  </si>
  <si>
    <t>装配干涉</t>
  </si>
  <si>
    <t xml:space="preserve">1.产前培训；
2.工装设备使用前点检、定期维护                        3.首件确认                 4.后工序性能测试全检确认 
</t>
  </si>
  <si>
    <t>焊点大小均匀</t>
  </si>
  <si>
    <t>焊点过大</t>
  </si>
  <si>
    <t>焊点过小</t>
  </si>
  <si>
    <t>虚焊、脱焊</t>
  </si>
  <si>
    <t>弹簧焊脚无弯曲、压痕</t>
  </si>
  <si>
    <t>压痕、弯曲</t>
  </si>
  <si>
    <t>装配干涉
焊脚断裂</t>
  </si>
  <si>
    <t>来料不良
人为操作因素</t>
  </si>
  <si>
    <t>焊负极弹簧</t>
  </si>
  <si>
    <t xml:space="preserve">1.产前培训；
2.工装设备使用前点检、定期维护                      3.首件确认                  4.后工序性能测试全检确认 
</t>
  </si>
  <si>
    <t xml:space="preserve">  </t>
  </si>
  <si>
    <t>插蜂鸣器</t>
  </si>
  <si>
    <t>未插装到位</t>
  </si>
  <si>
    <t>1.首件确认；
2.输出生产工艺文件</t>
  </si>
  <si>
    <t>焊接蜂鸣器</t>
  </si>
  <si>
    <t>蜂鸣器固定牢固</t>
  </si>
  <si>
    <t>虚焊/漏焊/蜂鸣器脱落</t>
  </si>
  <si>
    <t>丝印按键</t>
  </si>
  <si>
    <t>漏印刷/字体不完整（断线）</t>
  </si>
  <si>
    <t>用户抱怨</t>
  </si>
  <si>
    <t>1，油墨因素；                    2，工装设备因素</t>
  </si>
  <si>
    <t>1，产前培训，      2，专用工装、设备参数固定（使用前点检，每三个月维护保养一次）；             3，首件+巡检（是否符合工艺要求：字迹是否清晰、内容、位置是否正确）              4，组装全检外观、出货抽检</t>
  </si>
  <si>
    <t>印错内容</t>
  </si>
  <si>
    <t>颜色不一致</t>
  </si>
  <si>
    <t>移印上盖</t>
  </si>
  <si>
    <t>丝印下盖</t>
  </si>
  <si>
    <t>下盖粘胶头</t>
  </si>
  <si>
    <t>粘贴到位，
胶头无松动</t>
  </si>
  <si>
    <t>有溢胶或透缝现象落</t>
  </si>
  <si>
    <t>外观不良
影响组装</t>
  </si>
  <si>
    <t>人为操作因素
原材料不良</t>
  </si>
  <si>
    <t>1.产前培训；
2.首件确认
3.后道工序确认</t>
  </si>
  <si>
    <t>组装探头传感器模组</t>
  </si>
  <si>
    <t>螺钉无松动，无易扣</t>
  </si>
  <si>
    <t>螺钉松动、螺丝易扣、无法固定探头</t>
  </si>
  <si>
    <t>用户抱怨、异响、产品基本功能丧失/失准</t>
  </si>
  <si>
    <t xml:space="preserve">1.产前培训；
2.首件确认
3.工装设备使用前点检、定期维护；
4.后工序性能测试全检确认 
</t>
  </si>
  <si>
    <t>工艺工程师/详见IQ/OQ/PO完成日期/详见IQ/OQ/PO完成日期</t>
  </si>
  <si>
    <t xml:space="preserve">
1，作业文件明确扭矩及螺钉规格要求
2，电动螺丝起子使用前点检，使用过程中每4小时检查一下力矩  </t>
  </si>
  <si>
    <t>未固定牢固导致产品基本功能丧失/失准</t>
  </si>
  <si>
    <t>安装过程位置正确无压线现象</t>
  </si>
  <si>
    <t>压线位置错误</t>
  </si>
  <si>
    <t>主板焊插件探头</t>
  </si>
  <si>
    <t xml:space="preserve">1.产前培训；
2.工装设备使用前点检、定期维护                        3.首件确认                4.后工序性能测试全检确认 </t>
  </si>
  <si>
    <t>装按键</t>
  </si>
  <si>
    <t>缓冲垫、按键安装位置正确</t>
  </si>
  <si>
    <t>安装位置歪斜</t>
  </si>
  <si>
    <t>外观不良断差等现象客户抱怨</t>
  </si>
  <si>
    <t>按键卡顿、产品功能失效</t>
  </si>
  <si>
    <t>组装显示屏</t>
  </si>
  <si>
    <t>外观无缺损、脏污、划伤等不良</t>
  </si>
  <si>
    <t>缺损、划伤、脏污</t>
  </si>
  <si>
    <t>产品外观不良，客户抱怨
显示性能不良</t>
  </si>
  <si>
    <t>1，产前培训，   2，首件确认，   3，巡检            4，出货检验</t>
  </si>
  <si>
    <t>安装方向不可错</t>
  </si>
  <si>
    <t>安装方向错误</t>
  </si>
  <si>
    <t>显示不良</t>
  </si>
  <si>
    <t>撕掉保护膜</t>
  </si>
  <si>
    <t>保护膜未撕</t>
  </si>
  <si>
    <t>装主板、打螺钉</t>
  </si>
  <si>
    <t>螺钉松动、螺丝易扣</t>
  </si>
  <si>
    <t>用户抱怨、异响、</t>
  </si>
  <si>
    <t>后工序装配干涉及未知风险</t>
  </si>
  <si>
    <t>装双联弹簧</t>
  </si>
  <si>
    <t>弹簧要组装到位</t>
  </si>
  <si>
    <t>漏装、未装到位</t>
  </si>
  <si>
    <t xml:space="preserve">人为操作 </t>
  </si>
  <si>
    <t>1.产前培训
2.首件确认</t>
  </si>
  <si>
    <t>下盖装传感器模块</t>
  </si>
  <si>
    <t>安装位置正确、符合文件要求</t>
  </si>
  <si>
    <t>安装位置错误</t>
  </si>
  <si>
    <t>后工序组装干涉</t>
  </si>
  <si>
    <t>1.产前培训；
2.首件确认
3.后工序性能测试全检确认</t>
  </si>
  <si>
    <t>安装档位按键</t>
  </si>
  <si>
    <t>外观无缺损、脏污等不良</t>
  </si>
  <si>
    <t>档位按键缺损、脏污</t>
  </si>
  <si>
    <t>合壳打螺钉</t>
  </si>
  <si>
    <t>贴透镜</t>
  </si>
  <si>
    <t>无脏污异物夹杂，划痕、翘起等不良</t>
  </si>
  <si>
    <t>脏污、异物、划伤等</t>
  </si>
  <si>
    <t>用户抱怨
外观不良</t>
  </si>
  <si>
    <t>人为操作
来料原因
环境因素</t>
  </si>
  <si>
    <t xml:space="preserve">1.产前培训；
2.首件确认
（是否符合工艺要求）
3.后工序全检确认
</t>
  </si>
  <si>
    <t>安装位置正确</t>
  </si>
  <si>
    <t>1、探头装入指套，指套无破损。
2、室温25±1℃
3、静置时间≥2小时</t>
  </si>
  <si>
    <t>未装指套、指套破损</t>
  </si>
  <si>
    <t>后工序无法标定</t>
  </si>
  <si>
    <t>人为操作因素                
物料因素</t>
  </si>
  <si>
    <t>1.工装设备使用前点检、定期维护（；
2.产前培训；
3.首件确认；
4.后道工序控制</t>
  </si>
  <si>
    <t>室内温度未在25℃±1℃</t>
  </si>
  <si>
    <t>人为操作因素                环境因素</t>
  </si>
  <si>
    <t>静置时间不足</t>
  </si>
  <si>
    <t>常温标定</t>
  </si>
  <si>
    <t xml:space="preserve">
1、水槽内水位上线不得超过水槽内刻度尺“0”的刻度位，下限不得低于“1”的刻度位；
2、室内温度必须保持在25℃±1℃；
3、水槽温度30±0.02℃、45±0.02℃</t>
  </si>
  <si>
    <t>水槽内水位未在要求范围内</t>
  </si>
  <si>
    <t>水槽温度未在30±0.02℃、45±0.02℃标准内</t>
  </si>
  <si>
    <t>低温矫正</t>
  </si>
  <si>
    <t>1、机器标定前必须在16±1℃恒温室内静置时间≥2小时。
2、水槽内水位上线不得超过水槽内刻度尺“0”的刻度位，下限不得低于“1”的刻度位；
3、37℃水槽温度误差不得超过±0.05℃；
4、42℃水槽温度误差不得超过±0.05℃
5、恒温室环境温度在16±1℃，湿度在30-70%RH范围内才可进行常温矫正。</t>
  </si>
  <si>
    <t xml:space="preserve">人为操作               </t>
  </si>
  <si>
    <t>1.产前培训；
2.首件确认
3.工装设备使用前点检、定期维护； 
4.性能测试、全检；</t>
  </si>
  <si>
    <t>室内温湿度在要求范围内</t>
  </si>
  <si>
    <t>人为操作                环境因素</t>
  </si>
  <si>
    <t>水槽温度未在要求标准内</t>
  </si>
  <si>
    <t>人为操作                工装设备因素</t>
  </si>
  <si>
    <t>10℃、33℃、37℃、41℃精度测试</t>
  </si>
  <si>
    <t>1、机器标定前必须在25±1℃恒温室内静置时间≥2小时；
2、水槽内水位上线不得超过水槽内刻度尺“0”的刻度位，下限不得低于“1”的刻度位；
3、10℃水槽温度误差不得超过±0.02℃；
4、33℃水槽温度误差不得超过±0.02℃；
5、37℃水槽温度误差不得超过±0.02℃；
6、41℃水槽温度误差不得超过±0.02℃；
7、恒温室环境温度在25±1℃，湿度在30-70%RH范围内才可进行常温矫正。</t>
  </si>
  <si>
    <t>外观</t>
  </si>
  <si>
    <t>1.检查整机外观；
2.检查整机各部分丝印内容，丝印效果良好；
3.检查整机上规定的标签；
4.包装外观检验详见PT9L制造令文件
检验标准参照
《PT9L检验作业指导书（标准）》：QI-PT9L-DY04</t>
  </si>
  <si>
    <t>1.检验造成产品外观不良</t>
  </si>
  <si>
    <t>客户对产品外观不满意</t>
  </si>
  <si>
    <t xml:space="preserve">1.人员防护不当
2.人员操作失误
</t>
  </si>
  <si>
    <t xml:space="preserve">1.首件确认；      2.产前培训；
3.全检外观；
4.出货抽检 </t>
  </si>
  <si>
    <t>外观不良需后道处理</t>
  </si>
  <si>
    <t>客户拒货</t>
  </si>
  <si>
    <t>2.外观不良未被有效检出</t>
  </si>
  <si>
    <t>1.视力差异
2.培训不到位</t>
  </si>
  <si>
    <t>1.定期体检
2.岗前培训</t>
  </si>
  <si>
    <t>内观</t>
  </si>
  <si>
    <t>符合文件管控要求</t>
  </si>
  <si>
    <t>整机检验</t>
  </si>
  <si>
    <t>1、全显
2、常温复测正确</t>
  </si>
  <si>
    <t>1、全显缺段、不良
2、常温复测失败</t>
  </si>
  <si>
    <t>客户抱怨性能不良
产品基本功能丧失/失准</t>
  </si>
  <si>
    <t xml:space="preserve">人为操作因素  </t>
  </si>
  <si>
    <t>1.产前培训.   
2.首件确认.   
3.性能全检            
4.出货检验</t>
  </si>
  <si>
    <t>出货检验不合格返工</t>
  </si>
  <si>
    <t>客户投诉性能不良
产品基本功能丧失/失准</t>
  </si>
  <si>
    <t>装电池盖</t>
  </si>
  <si>
    <t>1、电池盖与下盖配合良好；
2、电池仓内无脏污异物</t>
  </si>
  <si>
    <t>1、电池盖松
2、电池盖紧
3、电池仓内脏污、异物</t>
  </si>
  <si>
    <t>客户抱怨
外观不良</t>
  </si>
  <si>
    <t xml:space="preserve">1.产前培训.   
2.首件确认.   
3.巡检            
4.出货检验              </t>
  </si>
  <si>
    <t>客户投诉</t>
  </si>
  <si>
    <t>贴透镜保护膜</t>
  </si>
  <si>
    <t xml:space="preserve">人为操作因素  
物料因素  </t>
  </si>
  <si>
    <t>粘贴铭牌</t>
  </si>
  <si>
    <t>粘贴位置正确，平整无气泡、字体清晰</t>
  </si>
  <si>
    <t>位置错误</t>
  </si>
  <si>
    <t xml:space="preserve">人为操作因素                     </t>
  </si>
  <si>
    <t xml:space="preserve">人为操作因素            物料原因         </t>
  </si>
  <si>
    <t>折叠纸托架</t>
  </si>
  <si>
    <t>折叠正确、无褶皱</t>
  </si>
  <si>
    <t>折叠不正确、褶皱</t>
  </si>
  <si>
    <t>纸托架装电池</t>
  </si>
  <si>
    <t>1、表面干净、外观无破损、无漏液
2、摆放整齐一致</t>
  </si>
  <si>
    <t>脏污、破损、漏液，摆放顺线不一致</t>
  </si>
  <si>
    <t>1.检查整机外观；
2.检查整机各部分丝印内容，丝印效果良好；
3.检查整机上规定的标签；
4.包装外观检验详见PT9L制造令文件
检验标准参照
《PT9L包装检验规范》：QI-N-BZ-06</t>
  </si>
  <si>
    <t xml:space="preserve">1.首件确认；      2.产前培训；
3.全检外观；
4.出货检验 </t>
  </si>
  <si>
    <t>擦透镜</t>
  </si>
  <si>
    <t>透镜表面应洁净不可有划伤异物</t>
  </si>
  <si>
    <t>透镜划伤异物</t>
  </si>
  <si>
    <t>除尘</t>
  </si>
  <si>
    <t>透镜、铜套除尘无脏污、毛屑</t>
  </si>
  <si>
    <t>透镜、铜套脏污、毛屑</t>
  </si>
  <si>
    <t xml:space="preserve">1.产前培训.   
2.首件确认.   
3.巡检            
4.出货检验    </t>
  </si>
  <si>
    <t>纸托架装整机</t>
  </si>
  <si>
    <t>整机放置方向正确平整、彩包装表面无破损、划伤、印刷不良、附着毛发等不良、整机应装到位，无破损褶皱</t>
  </si>
  <si>
    <t>整机放置位置错误、彩包装表面破损、划伤、印刷不良、附着毛发、整机装不到位，有破损褶皱等</t>
  </si>
  <si>
    <t>叠彩包装</t>
  </si>
  <si>
    <t>装入纸托架</t>
  </si>
  <si>
    <t>纸托架放置方向正确平整、彩包装表面无破损、划伤、印刷不良、附着毛发等不良、彩包装应插合到位，无破损褶皱</t>
  </si>
  <si>
    <t>纸托架放置位置错误、彩包装表面破损、划伤、印刷不良、附着毛发、彩包装插合不到位，有破损褶皱等</t>
  </si>
  <si>
    <t>装整机及配件</t>
  </si>
  <si>
    <t>说明书、保修卡、快速指南装包装盒方向顺序应一致，外观损伤</t>
  </si>
  <si>
    <t>顺序不一致，外观损伤</t>
  </si>
  <si>
    <t>彩包装扣盖</t>
  </si>
  <si>
    <t>贴防拆签</t>
  </si>
  <si>
    <t>粘贴位置正确，平整无气泡</t>
  </si>
  <si>
    <t>彩包装整机称重</t>
  </si>
  <si>
    <t>重量应在设置范围中，外观损伤</t>
  </si>
  <si>
    <t>有少料或多料现象</t>
  </si>
  <si>
    <t>使用标准砝码定期点检</t>
  </si>
  <si>
    <t>贴标签</t>
  </si>
  <si>
    <t>外箱粘贴标签</t>
  </si>
  <si>
    <t>摆放数量应统一，摆放高度不可超出电梯口高度。</t>
  </si>
  <si>
    <t>摆放数量不统一，摆放高度超出电梯口高度。</t>
  </si>
  <si>
    <t>出货检验：
电池反接</t>
  </si>
  <si>
    <t>5分钟后无异常， 无短路冒烟，电池重新装配后可正常工作</t>
  </si>
  <si>
    <t>检验造成产品外观不良</t>
  </si>
  <si>
    <t xml:space="preserve">1.产前培训；                       2.抽检；
</t>
  </si>
  <si>
    <t xml:space="preserve">2.性能不良无法有效检出
</t>
  </si>
  <si>
    <t>不良品流出，客户抱怨</t>
  </si>
  <si>
    <t>1.人员漏检
2.设备因素</t>
  </si>
  <si>
    <t>出货检不合格造成返工</t>
  </si>
  <si>
    <t>出货检验：
开机检验
LED显示</t>
  </si>
  <si>
    <t>能可靠开机
LED显示符合要求</t>
  </si>
  <si>
    <t>出货检验：
范围测量</t>
  </si>
  <si>
    <t>在设置测量范围内测试数据符合文件要求</t>
  </si>
  <si>
    <t>1.产前培训；         
2.工装设备使用前点检、定期维护（每六个月）；              3.抽检</t>
  </si>
  <si>
    <t>出货检验：
精度测量</t>
  </si>
  <si>
    <t>在要求温度点，所测的数值和测量误差应满足误差要求</t>
  </si>
  <si>
    <t>出货检验：
低电测试</t>
  </si>
  <si>
    <t>电压2.7V时，出现电池符号闪烁，可以继续正常测量；
电压2.5V时，出现电池符号闪烁（≥3次），不可测量</t>
  </si>
  <si>
    <t>出货检验：
单位转换</t>
  </si>
  <si>
    <t>单位可以成功切换</t>
  </si>
  <si>
    <t>1.产前培训；         
2.抽检</t>
  </si>
  <si>
    <t xml:space="preserve">
出货检验：外观</t>
  </si>
  <si>
    <t>1.检查整机外观；
2.检查整机各部分丝印内容，丝印效果良好；
3.检查整机上规定的标签；
4.包装外观检验详见PT9L制造令文件
检验标准参照
《PT9L出货检验规范》：QI-N-CH-06</t>
  </si>
  <si>
    <t xml:space="preserve">1.首件检验；      2.产前培训；
3.全检外观；
4.出货抽检； </t>
  </si>
  <si>
    <t>出货检验：耐压测试</t>
  </si>
  <si>
    <t>电池正极到外壳：要求能承受DC1000V 1分钟内无绝缘击穿；
电池正极到探头：要求能承受DC1000V 1分钟内无绝缘击穿；</t>
  </si>
  <si>
    <t xml:space="preserve">1.产前培训；         
2.工装设备使用前点检、定期维护；              3.抽检
（是否符合工艺要求）       </t>
  </si>
  <si>
    <t>出货检验：漏电流测试</t>
  </si>
  <si>
    <t xml:space="preserve">接触电流正常状态：≤0.1mA
患者漏电流：
正常状态：≤5.0mA 
</t>
  </si>
  <si>
    <t>包材检验</t>
  </si>
  <si>
    <t>《出货检验规范》（QI-N-CH-06）  　</t>
  </si>
  <si>
    <t>1.建立检验作业指导书，通过佩戴手套指套控制
2.操作台与产品接触面使用防磨防静电材质
3.岗前培训操作手法避免外观不良产生</t>
  </si>
  <si>
    <t>1.人眼差异
2.培训不到位</t>
  </si>
  <si>
    <t>发货</t>
  </si>
  <si>
    <t>1.物料信息正确；2.物料数量正确；3.码放方式符合要求</t>
  </si>
  <si>
    <t>物料信息不正确</t>
  </si>
  <si>
    <t>人员操作失误</t>
  </si>
  <si>
    <t>1.出库单与发货单核对
2.人员岗前培训</t>
  </si>
  <si>
    <t>物料数量不正确</t>
  </si>
  <si>
    <t>码放方式不符合要求</t>
  </si>
  <si>
    <t>1.制造令文件
2.人员作业前培训</t>
  </si>
  <si>
    <t>物料不良</t>
  </si>
  <si>
    <t>编制：</t>
  </si>
  <si>
    <t>审核：</t>
  </si>
  <si>
    <t>批准：</t>
  </si>
  <si>
    <t>1.不良现象发生频度越高，问题越严重，分值越高；
2.分值判定来源于生产数据统计；
3.对于新项目，无以往生产数据做支持，采取小组讨论进行打分定级；</t>
  </si>
  <si>
    <t>AG-633过程数据统计表（机芯）</t>
  </si>
  <si>
    <t>维修日期</t>
  </si>
  <si>
    <t>制造令</t>
  </si>
  <si>
    <t>机型</t>
  </si>
  <si>
    <t>数量</t>
  </si>
  <si>
    <t>班组</t>
  </si>
  <si>
    <t>程序写入不良</t>
  </si>
  <si>
    <t>其他</t>
  </si>
  <si>
    <t>机型不良数</t>
  </si>
  <si>
    <t>机型不良率</t>
  </si>
  <si>
    <t>U1</t>
  </si>
  <si>
    <t>L坏</t>
  </si>
  <si>
    <t>Q连焊</t>
  </si>
  <si>
    <t>Q坏</t>
  </si>
  <si>
    <t>U不良</t>
  </si>
  <si>
    <t>00406C-20170573</t>
  </si>
  <si>
    <t>AG-633</t>
  </si>
  <si>
    <t>T50</t>
  </si>
  <si>
    <t>总计</t>
  </si>
  <si>
    <t>各现象不良率</t>
  </si>
  <si>
    <t>机芯调试不良（零点、高值、低值超标）</t>
  </si>
  <si>
    <t>ID写入不良</t>
  </si>
  <si>
    <t>R6</t>
  </si>
  <si>
    <t>R9</t>
  </si>
  <si>
    <t>RC2</t>
  </si>
  <si>
    <t>R19</t>
  </si>
  <si>
    <t>R21</t>
  </si>
  <si>
    <t>R22</t>
  </si>
  <si>
    <t>C10</t>
  </si>
  <si>
    <t>C13</t>
  </si>
  <si>
    <t>C14</t>
  </si>
  <si>
    <t>焊点不良</t>
  </si>
  <si>
    <t>程序不良</t>
  </si>
  <si>
    <t>U4</t>
  </si>
  <si>
    <t>日期</t>
  </si>
  <si>
    <t>生产
车间</t>
  </si>
  <si>
    <t>生产
班组</t>
  </si>
  <si>
    <t>状态</t>
  </si>
  <si>
    <t>生产数量</t>
  </si>
  <si>
    <t>性能不良
数量</t>
  </si>
  <si>
    <t>性能不良率</t>
  </si>
  <si>
    <t>示值误差检测（模拟测试异常、示值异常、程序异常）</t>
  </si>
  <si>
    <t>性能测试（电流异常、认证异常、ID异常、测试功能异常、不开机）</t>
  </si>
  <si>
    <t>质控条损坏</t>
  </si>
  <si>
    <t>U2</t>
  </si>
  <si>
    <t>耳机</t>
  </si>
  <si>
    <t>插座</t>
  </si>
  <si>
    <t>程序异常</t>
  </si>
  <si>
    <t>D2</t>
  </si>
  <si>
    <t>D4</t>
  </si>
  <si>
    <t>Q4</t>
  </si>
  <si>
    <t>Q7</t>
  </si>
  <si>
    <t>弹片</t>
  </si>
  <si>
    <t>弹簧</t>
  </si>
  <si>
    <t>ID异常</t>
  </si>
  <si>
    <t>2017.04.23</t>
  </si>
  <si>
    <t>组装一车间</t>
  </si>
  <si>
    <t>组装</t>
  </si>
  <si>
    <t>2017.04.26</t>
  </si>
  <si>
    <t>（D2、D4、Q4、Q7、耳机）</t>
  </si>
  <si>
    <t xml:space="preserve">   日期</t>
  </si>
  <si>
    <t>评审/制造令</t>
  </si>
  <si>
    <t>客户</t>
  </si>
  <si>
    <t>2014.07.23</t>
  </si>
  <si>
    <t>B201400002-20140501/20140504</t>
  </si>
  <si>
    <t>香港IHEALTH</t>
  </si>
  <si>
    <t>2014.11.03</t>
  </si>
  <si>
    <t>20140058W-20141801/20141802/20141803</t>
  </si>
  <si>
    <t>备料</t>
  </si>
  <si>
    <t>总数量</t>
  </si>
  <si>
    <t>抽检数量</t>
  </si>
  <si>
    <t>不良数量</t>
  </si>
  <si>
    <t>不良率</t>
  </si>
  <si>
    <t>机号</t>
  </si>
  <si>
    <t>不良状况</t>
  </si>
  <si>
    <t>验货结果</t>
  </si>
  <si>
    <r>
      <t>2</t>
    </r>
    <r>
      <rPr>
        <sz val="10"/>
        <rFont val="宋体"/>
        <charset val="134"/>
      </rPr>
      <t>014.06.16</t>
    </r>
  </si>
  <si>
    <r>
      <t>B</t>
    </r>
    <r>
      <rPr>
        <sz val="10"/>
        <rFont val="宋体"/>
        <charset val="134"/>
      </rPr>
      <t>201400002-20140489</t>
    </r>
  </si>
  <si>
    <t>试产</t>
  </si>
  <si>
    <r>
      <t>A</t>
    </r>
    <r>
      <rPr>
        <sz val="10"/>
        <rFont val="宋体"/>
        <charset val="134"/>
      </rPr>
      <t>G-633</t>
    </r>
  </si>
  <si>
    <r>
      <t>1</t>
    </r>
    <r>
      <rPr>
        <sz val="10"/>
        <rFont val="宋体"/>
        <charset val="134"/>
      </rPr>
      <t>0000出货</t>
    </r>
    <r>
      <rPr>
        <sz val="10"/>
        <rFont val="宋体"/>
        <charset val="134"/>
      </rPr>
      <t>600</t>
    </r>
  </si>
  <si>
    <t>/</t>
  </si>
  <si>
    <t>PASS</t>
  </si>
  <si>
    <t>10000出货2000</t>
  </si>
  <si>
    <t>140501003783004/00219/00568</t>
  </si>
  <si>
    <r>
      <t>示值误差小(364.35)、示值误差大(365.44)</t>
    </r>
    <r>
      <rPr>
        <sz val="10"/>
        <rFont val="宋体"/>
        <charset val="134"/>
      </rPr>
      <t>、电池簧片变形</t>
    </r>
  </si>
  <si>
    <t>机芯调试部分失效对客户的影响</t>
  </si>
  <si>
    <t>2014.08.04</t>
  </si>
  <si>
    <t>B201400002-20140880</t>
  </si>
  <si>
    <t>2014.09.12</t>
  </si>
  <si>
    <t>B201400002-20140489/0501/0504/0880</t>
  </si>
  <si>
    <t>10000出货88</t>
  </si>
  <si>
    <t>2014.09.16</t>
  </si>
  <si>
    <t>201400175B-20141512</t>
  </si>
  <si>
    <t>2014.09.21</t>
  </si>
  <si>
    <t>B201400002-20140880/20141505/20141506</t>
  </si>
  <si>
    <t>10000出货2783</t>
  </si>
  <si>
    <t>2014.10.06</t>
  </si>
  <si>
    <t>201400175B-20141507</t>
  </si>
  <si>
    <t>10000出货1086</t>
  </si>
  <si>
    <t>141507017983008</t>
  </si>
  <si>
    <t>低电显示错误</t>
  </si>
  <si>
    <t>2014.10.31</t>
  </si>
  <si>
    <t>20140058W-20141801/20141802</t>
  </si>
  <si>
    <t>10000出货3200</t>
  </si>
  <si>
    <t>10000出货2220</t>
  </si>
  <si>
    <t>141803002313010/00567</t>
  </si>
  <si>
    <t>示值误差测试报错*2</t>
  </si>
  <si>
    <t>2014.11.11</t>
  </si>
  <si>
    <t>B201400002-20140880/20141506</t>
  </si>
  <si>
    <t>10000出货516</t>
  </si>
  <si>
    <t>140880020043007</t>
  </si>
  <si>
    <t>示值误差测试报错</t>
  </si>
  <si>
    <t>201400175B-20140545/20141507</t>
  </si>
  <si>
    <t>10000出货3412</t>
  </si>
  <si>
    <t>2014.11.24</t>
  </si>
  <si>
    <t>20140058W-20141826/20141827/20141828</t>
  </si>
  <si>
    <t>10000出货4580</t>
  </si>
  <si>
    <t>2014.11.29</t>
  </si>
  <si>
    <t>201400175B-20140554/20141507</t>
  </si>
  <si>
    <t>10000出货1476</t>
  </si>
  <si>
    <t>140554019583008</t>
  </si>
  <si>
    <t>弹片脱落</t>
  </si>
  <si>
    <t>2014.12.29</t>
  </si>
  <si>
    <t>201400635B-20142461</t>
  </si>
  <si>
    <t>10000出货1008</t>
  </si>
  <si>
    <t>141862016653011/01662/01134/00013/01813/01663/01696</t>
  </si>
  <si>
    <t>低电显示错误*5、无法进入工装态、示值误差大(374.44)</t>
  </si>
  <si>
    <t>REJ</t>
  </si>
  <si>
    <t>201400638B-20142463</t>
  </si>
  <si>
    <t>10000出货72</t>
  </si>
  <si>
    <t>141862020163011</t>
  </si>
  <si>
    <t>2015.03.10</t>
  </si>
  <si>
    <t>201400175B-20140545/0554/1862/1507</t>
  </si>
  <si>
    <t>10000出货946</t>
  </si>
  <si>
    <t>B201400002-20140880/20141863</t>
  </si>
  <si>
    <t>10000出货2013</t>
  </si>
  <si>
    <t>140880016913007/01898/01048</t>
  </si>
  <si>
    <t>低电显示错误*2、示值误差测试报错</t>
  </si>
  <si>
    <t>Q4/插座</t>
  </si>
  <si>
    <t>2015.04.13</t>
  </si>
  <si>
    <t>201500109-20150437</t>
  </si>
  <si>
    <t>法国IHEALTH LABS EUROPE</t>
  </si>
  <si>
    <t>5004出货3404</t>
  </si>
  <si>
    <t>201500109-20150438</t>
  </si>
  <si>
    <t>5004出货1600</t>
  </si>
  <si>
    <t>2015.05.07</t>
  </si>
  <si>
    <t>201500161D-20150431/20150432</t>
  </si>
  <si>
    <t>2015.05.25</t>
  </si>
  <si>
    <t>201500216-20150550</t>
  </si>
  <si>
    <t>2015.06.05</t>
  </si>
  <si>
    <t>201500231-20150593/20150594</t>
  </si>
  <si>
    <t>中国香港IHEALTH</t>
  </si>
  <si>
    <t>2015.06.15</t>
  </si>
  <si>
    <t>201500198-20150595/20150596</t>
  </si>
  <si>
    <r>
      <t>美国</t>
    </r>
    <r>
      <rPr>
        <sz val="10"/>
        <rFont val="宋体"/>
        <charset val="134"/>
      </rPr>
      <t>IHEALTH</t>
    </r>
  </si>
  <si>
    <t>150596000586005</t>
  </si>
  <si>
    <t>标志位错误</t>
  </si>
  <si>
    <t>2016.07.11</t>
  </si>
  <si>
    <t>201500235-20150627</t>
  </si>
  <si>
    <t>美国IHEALTH</t>
  </si>
  <si>
    <t>16260出货4008</t>
  </si>
  <si>
    <t>150627037757006/04271</t>
  </si>
  <si>
    <t>不开机*2</t>
  </si>
  <si>
    <t>2015.07.20</t>
  </si>
  <si>
    <t>16260出货4992</t>
  </si>
  <si>
    <t>150627139767006/13702</t>
  </si>
  <si>
    <t>无电池*2</t>
  </si>
  <si>
    <t>2015.07.22</t>
  </si>
  <si>
    <t>16260出货1080</t>
  </si>
  <si>
    <t>2015.07.28</t>
  </si>
  <si>
    <t>16260出货6180</t>
  </si>
  <si>
    <t>150627075337006/06316/13549/08565</t>
  </si>
  <si>
    <t>示值误差测试报错*4</t>
  </si>
  <si>
    <t>2015.08.06</t>
  </si>
  <si>
    <t>201500271-20150733</t>
  </si>
  <si>
    <t>6000出货3000</t>
  </si>
  <si>
    <t>2015.08.12</t>
  </si>
  <si>
    <t>2015.09.07</t>
  </si>
  <si>
    <t>B201500004-20150688</t>
  </si>
  <si>
    <t>3000出货1000</t>
  </si>
  <si>
    <t>2015.10.09</t>
  </si>
  <si>
    <t>201500463-20151045</t>
  </si>
  <si>
    <t>2015.10.13</t>
  </si>
  <si>
    <t>201500434B-20151046</t>
  </si>
  <si>
    <t>沙特SIHAT</t>
  </si>
  <si>
    <t>B201500004-20150689</t>
  </si>
  <si>
    <t>3000出货1520</t>
  </si>
  <si>
    <t>2015.10.20</t>
  </si>
  <si>
    <t>201500401-20150947</t>
  </si>
  <si>
    <t>3000出货1800</t>
  </si>
  <si>
    <t>2015.10.23</t>
  </si>
  <si>
    <t>3000出货1200</t>
  </si>
  <si>
    <t>150947030357009</t>
  </si>
  <si>
    <t>电池簧脱落</t>
  </si>
  <si>
    <t>2016.05.23</t>
  </si>
  <si>
    <t>201600068B-20160133</t>
  </si>
  <si>
    <t>2016.06.03</t>
  </si>
  <si>
    <t>201600034A-20160091</t>
  </si>
  <si>
    <t>420出货240(单机装)</t>
  </si>
  <si>
    <t>2016.06.16</t>
  </si>
  <si>
    <t>201600207-20160385</t>
  </si>
  <si>
    <t>阿联酋GECO</t>
  </si>
  <si>
    <t>141827008083011</t>
  </si>
  <si>
    <t>通讯错误</t>
  </si>
  <si>
    <t>2016.06.18</t>
  </si>
  <si>
    <t>201600246C-20160424</t>
  </si>
  <si>
    <t>伊朗PLAN B</t>
  </si>
  <si>
    <t>2016.09.01</t>
  </si>
  <si>
    <t>B201600007-20160557</t>
  </si>
  <si>
    <t>2000出货1250</t>
  </si>
  <si>
    <t>160557001077008</t>
  </si>
  <si>
    <t>2016.09.05</t>
  </si>
  <si>
    <t>2000出货750</t>
  </si>
  <si>
    <t>2016.09.06</t>
  </si>
  <si>
    <t>420出货180(试纸装)</t>
  </si>
  <si>
    <t>2016.09.30</t>
  </si>
  <si>
    <t>201600418-2016039F</t>
  </si>
  <si>
    <t>中国爱和健康</t>
  </si>
  <si>
    <t>2016.11.08</t>
  </si>
  <si>
    <t>201600406B-20160713</t>
  </si>
  <si>
    <t>5000出货1200</t>
  </si>
  <si>
    <t>2016.11.09</t>
  </si>
  <si>
    <t>5000出货840</t>
  </si>
  <si>
    <t>2016.11.11</t>
  </si>
  <si>
    <t>5000出货2960</t>
  </si>
  <si>
    <t>2017.04.15</t>
  </si>
  <si>
    <t>201700160A-20170731</t>
  </si>
  <si>
    <t>2017.05.02</t>
  </si>
  <si>
    <t>201600406C-20170573</t>
  </si>
  <si>
    <t>5000出货3360</t>
  </si>
  <si>
    <t>2017.05.03</t>
  </si>
  <si>
    <t>5000出货1640</t>
  </si>
  <si>
    <t>2017.06.06</t>
  </si>
  <si>
    <t>B201700022-20170954</t>
  </si>
  <si>
    <t>成品改制</t>
  </si>
  <si>
    <t>2017.07.07</t>
  </si>
  <si>
    <t>201700281-20171267</t>
  </si>
  <si>
    <t>序号</t>
  </si>
  <si>
    <t>阶段</t>
  </si>
  <si>
    <t>流程说明</t>
  </si>
  <si>
    <t>组织生产过程中各制程相关工程师成立分析小组</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</si>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</sst>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8" formatCode="0.000%"/>
    <numFmt numFmtId="179" formatCode="0.0000%"/>
    <numFmt numFmtId="180" formatCode="0.0%"/>
  </numFmts>
  <fonts count="36" x14ac:knownFonts="1">
    <font>
      <sz val="12"/>
      <name val="宋体"/>
      <charset val="134"/>
    </font>
    <font>
      <sz val="9"/>
      <name val="宋体"/>
      <charset val="134"/>
    </font>
    <font>
      <sz val="9"/>
      <color rgb="FFFF0000"/>
      <name val="宋体"/>
      <charset val="134"/>
    </font>
    <font>
      <sz val="10"/>
      <name val="Times New Roman"/>
      <family val="1"/>
    </font>
    <font>
      <b/>
      <sz val="10"/>
      <name val="宋体"/>
      <charset val="134"/>
    </font>
    <font>
      <sz val="10"/>
      <name val="宋体"/>
      <charset val="134"/>
    </font>
    <font>
      <sz val="10"/>
      <color rgb="FFFF0000"/>
      <name val="宋体"/>
      <charset val="134"/>
    </font>
    <font>
      <sz val="12"/>
      <color rgb="FFFF0000"/>
      <name val="宋体"/>
      <charset val="134"/>
    </font>
    <font>
      <b/>
      <sz val="10"/>
      <color theme="4" tint="-0.499984740745262"/>
      <name val="宋体"/>
      <charset val="134"/>
    </font>
    <font>
      <b/>
      <sz val="10"/>
      <color theme="4" tint="-0.499984740745262"/>
      <name val="宋体"/>
      <charset val="134"/>
      <scheme val="minor"/>
    </font>
    <font>
      <b/>
      <sz val="10"/>
      <color theme="2" tint="-0.89980773339030118"/>
      <name val="宋体"/>
      <charset val="134"/>
    </font>
    <font>
      <b/>
      <sz val="10"/>
      <color rgb="FFFF0000"/>
      <name val="宋体"/>
      <charset val="134"/>
    </font>
    <font>
      <sz val="11"/>
      <color indexed="8"/>
      <name val="宋体"/>
      <charset val="134"/>
    </font>
    <font>
      <sz val="11"/>
      <color theme="1"/>
      <name val="宋体"/>
      <charset val="134"/>
      <scheme val="minor"/>
    </font>
    <font>
      <sz val="10"/>
      <color indexed="8"/>
      <name val="宋体"/>
      <charset val="134"/>
    </font>
    <font>
      <sz val="16"/>
      <name val="宋体"/>
      <charset val="134"/>
    </font>
    <font>
      <sz val="6"/>
      <name val="宋体"/>
      <charset val="134"/>
    </font>
    <font>
      <sz val="9"/>
      <color indexed="8"/>
      <name val="宋体"/>
      <charset val="134"/>
    </font>
    <font>
      <sz val="8"/>
      <color indexed="8"/>
      <name val="宋体"/>
      <charset val="134"/>
    </font>
    <font>
      <sz val="9"/>
      <name val="Arial"/>
      <family val="2"/>
    </font>
    <font>
      <b/>
      <sz val="12"/>
      <name val="宋体"/>
      <charset val="134"/>
    </font>
    <font>
      <b/>
      <sz val="18"/>
      <name val="黑体"/>
      <family val="3"/>
      <charset val="134"/>
    </font>
    <font>
      <sz val="11"/>
      <name val="宋体"/>
      <charset val="134"/>
    </font>
    <font>
      <u/>
      <sz val="11"/>
      <name val="宋体"/>
      <charset val="134"/>
    </font>
    <font>
      <sz val="9"/>
      <color rgb="FF000000"/>
      <name val="宋体"/>
      <charset val="134"/>
    </font>
    <font>
      <sz val="8"/>
      <name val="宋体"/>
      <charset val="134"/>
    </font>
    <font>
      <sz val="9"/>
      <color theme="1"/>
      <name val="宋体"/>
      <charset val="134"/>
    </font>
    <font>
      <sz val="7"/>
      <name val="宋体"/>
      <charset val="134"/>
    </font>
    <font>
      <sz val="18"/>
      <name val="宋体"/>
      <charset val="134"/>
    </font>
    <font>
      <i/>
      <sz val="9"/>
      <name val="宋体"/>
      <charset val="134"/>
    </font>
    <font>
      <u/>
      <sz val="11"/>
      <color indexed="12"/>
      <name val="宋体"/>
      <charset val="134"/>
    </font>
    <font>
      <b/>
      <sz val="10"/>
      <name val="黑体"/>
      <family val="3"/>
      <charset val="134"/>
    </font>
    <font>
      <b/>
      <sz val="8"/>
      <name val="黑体"/>
      <family val="3"/>
      <charset val="134"/>
    </font>
    <font>
      <b/>
      <sz val="9"/>
      <name val="宋体"/>
      <charset val="134"/>
    </font>
    <font>
      <sz val="12"/>
      <name val="宋体"/>
      <charset val="134"/>
    </font>
    <font>
      <sz val="9"/>
      <name val="宋体"/>
      <family val="3"/>
      <charset val="134"/>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style="thin">
        <color indexed="8"/>
      </right>
      <top style="thin">
        <color auto="1"/>
      </top>
      <bottom style="thin">
        <color auto="1"/>
      </bottom>
      <diagonal/>
    </border>
    <border>
      <left/>
      <right/>
      <top style="thin">
        <color auto="1"/>
      </top>
      <bottom style="thin">
        <color auto="1"/>
      </bottom>
      <diagonal/>
    </border>
  </borders>
  <cellStyleXfs count="6">
    <xf numFmtId="0" fontId="0" fillId="0" borderId="0">
      <alignment vertical="center"/>
    </xf>
    <xf numFmtId="9" fontId="34" fillId="0" borderId="0" applyFont="0" applyFill="0" applyBorder="0" applyAlignment="0" applyProtection="0">
      <alignment vertical="center"/>
    </xf>
    <xf numFmtId="0" fontId="30" fillId="0" borderId="0" applyNumberFormat="0" applyFill="0" applyBorder="0" applyAlignment="0" applyProtection="0">
      <alignment vertical="center"/>
    </xf>
    <xf numFmtId="0" fontId="34" fillId="0" borderId="0">
      <alignment vertical="center"/>
    </xf>
    <xf numFmtId="0" fontId="34" fillId="0" borderId="0"/>
    <xf numFmtId="0" fontId="34" fillId="0" borderId="0">
      <alignment vertical="center"/>
    </xf>
  </cellStyleXfs>
  <cellXfs count="258">
    <xf numFmtId="0" fontId="0" fillId="0" borderId="0" xfId="0">
      <alignment vertical="center"/>
    </xf>
    <xf numFmtId="0" fontId="0" fillId="0" borderId="0" xfId="0" applyAlignment="1">
      <alignment horizontal="center" vertical="center"/>
    </xf>
    <xf numFmtId="0" fontId="1" fillId="0" borderId="0" xfId="3" applyFont="1" applyAlignment="1">
      <alignment horizontal="center" vertical="center" wrapText="1"/>
    </xf>
    <xf numFmtId="0" fontId="0" fillId="0" borderId="1" xfId="0" applyBorder="1" applyAlignment="1">
      <alignment horizontal="center" vertical="center"/>
    </xf>
    <xf numFmtId="0" fontId="1" fillId="0" borderId="1" xfId="3" applyFont="1" applyBorder="1"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3" applyFont="1" applyAlignment="1">
      <alignment horizontal="center" vertical="center" wrapText="1"/>
    </xf>
    <xf numFmtId="0" fontId="3" fillId="0" borderId="0" xfId="0" applyFont="1" applyAlignment="1">
      <alignment horizontal="center" vertical="center"/>
    </xf>
    <xf numFmtId="0" fontId="0" fillId="0" borderId="0" xfId="0" applyAlignment="1"/>
    <xf numFmtId="0" fontId="0" fillId="2" borderId="0" xfId="0" applyFill="1" applyAlignment="1"/>
    <xf numFmtId="0" fontId="4" fillId="3" borderId="1" xfId="0" applyFont="1" applyFill="1" applyBorder="1">
      <alignment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10" fontId="4" fillId="3" borderId="1"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10" fontId="5" fillId="3"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0" xfId="0" applyFont="1" applyAlignment="1"/>
    <xf numFmtId="0" fontId="5"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3" borderId="1" xfId="5" applyFont="1" applyFill="1" applyBorder="1" applyAlignment="1">
      <alignment horizontal="center" vertical="center" wrapText="1"/>
    </xf>
    <xf numFmtId="0" fontId="5" fillId="0" borderId="0" xfId="0" applyFont="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xf>
    <xf numFmtId="178" fontId="0" fillId="0" borderId="0" xfId="0" applyNumberFormat="1">
      <alignment vertical="center"/>
    </xf>
    <xf numFmtId="179" fontId="0" fillId="0" borderId="0" xfId="0" applyNumberFormat="1">
      <alignment vertical="center"/>
    </xf>
    <xf numFmtId="0" fontId="0" fillId="0" borderId="0" xfId="0" applyAlignment="1">
      <alignment vertical="center" wrapText="1"/>
    </xf>
    <xf numFmtId="0" fontId="9" fillId="0" borderId="1" xfId="0" applyFont="1" applyBorder="1" applyAlignment="1">
      <alignment horizontal="center" vertical="center" wrapText="1"/>
    </xf>
    <xf numFmtId="0" fontId="8" fillId="3" borderId="0" xfId="0" applyFont="1" applyFill="1" applyAlignment="1">
      <alignment horizontal="center" wrapText="1"/>
    </xf>
    <xf numFmtId="0" fontId="9" fillId="0" borderId="3" xfId="0" applyFont="1" applyBorder="1" applyAlignment="1">
      <alignment horizontal="center" vertical="center" wrapText="1"/>
    </xf>
    <xf numFmtId="0" fontId="9" fillId="0" borderId="1" xfId="0"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horizontal="center"/>
    </xf>
    <xf numFmtId="58"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horizontal="center" vertical="center" wrapText="1"/>
    </xf>
    <xf numFmtId="10" fontId="6"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 fillId="0" borderId="0" xfId="0" applyFo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4" fontId="1" fillId="0" borderId="1" xfId="0" applyNumberFormat="1"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178" fontId="1" fillId="0" borderId="1" xfId="1" applyNumberFormat="1" applyFont="1" applyFill="1" applyBorder="1" applyAlignment="1">
      <alignment horizontal="center" vertical="center"/>
    </xf>
    <xf numFmtId="0" fontId="1" fillId="4" borderId="1" xfId="0" applyFont="1" applyFill="1" applyBorder="1" applyAlignment="1">
      <alignment horizontal="center" vertical="center"/>
    </xf>
    <xf numFmtId="178" fontId="1" fillId="4" borderId="1" xfId="1" applyNumberFormat="1" applyFont="1" applyFill="1" applyBorder="1" applyAlignment="1">
      <alignment horizontal="center" vertical="center"/>
    </xf>
    <xf numFmtId="0" fontId="1" fillId="0" borderId="1" xfId="3" applyFont="1" applyBorder="1" applyAlignment="1">
      <alignment horizontal="left" vertical="center" wrapText="1"/>
    </xf>
    <xf numFmtId="179" fontId="1" fillId="0" borderId="1" xfId="0" applyNumberFormat="1" applyFont="1" applyBorder="1" applyAlignment="1">
      <alignment horizontal="center" vertical="center"/>
    </xf>
    <xf numFmtId="179" fontId="1" fillId="0" borderId="1" xfId="1" applyNumberFormat="1" applyFont="1" applyBorder="1" applyAlignment="1">
      <alignment horizontal="center" vertical="center"/>
    </xf>
    <xf numFmtId="14" fontId="1" fillId="0" borderId="0" xfId="0" applyNumberFormat="1" applyFont="1" applyAlignment="1">
      <alignment horizontal="left" vertical="center" wrapText="1"/>
    </xf>
    <xf numFmtId="0" fontId="19" fillId="0" borderId="0" xfId="0" applyFont="1" applyAlignment="1">
      <alignment horizontal="left" vertical="center" wrapText="1"/>
    </xf>
    <xf numFmtId="0" fontId="1" fillId="0" borderId="0" xfId="3" applyFont="1" applyAlignment="1">
      <alignment horizontal="left" vertical="center" wrapText="1"/>
    </xf>
    <xf numFmtId="0" fontId="19" fillId="0" borderId="0" xfId="3" applyFont="1" applyAlignment="1">
      <alignment horizontal="left" vertical="center" wrapText="1"/>
    </xf>
    <xf numFmtId="0" fontId="19" fillId="0" borderId="0" xfId="4" applyFont="1" applyAlignment="1">
      <alignment horizontal="left" vertical="center" wrapText="1"/>
    </xf>
    <xf numFmtId="0" fontId="17" fillId="0" borderId="0" xfId="0" applyFont="1" applyAlignment="1">
      <alignment horizontal="center" vertical="center"/>
    </xf>
    <xf numFmtId="10" fontId="17"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180" fontId="1" fillId="0" borderId="0" xfId="0" applyNumberFormat="1" applyFont="1" applyAlignment="1">
      <alignment horizontal="center" vertical="center" wrapText="1"/>
    </xf>
    <xf numFmtId="0" fontId="17" fillId="0" borderId="0" xfId="0" applyFont="1" applyAlignment="1">
      <alignment horizontal="center" vertical="center" wrapText="1"/>
    </xf>
    <xf numFmtId="0" fontId="1" fillId="4" borderId="0" xfId="0" applyFont="1" applyFill="1">
      <alignment vertical="center"/>
    </xf>
    <xf numFmtId="14" fontId="1" fillId="4" borderId="1" xfId="0" applyNumberFormat="1" applyFont="1" applyFill="1" applyBorder="1" applyAlignment="1">
      <alignment horizontal="left" vertical="center" wrapText="1"/>
    </xf>
    <xf numFmtId="0" fontId="17" fillId="4"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 fillId="0" borderId="0" xfId="3" applyFont="1" applyAlignment="1">
      <alignment vertical="center" wrapText="1"/>
    </xf>
    <xf numFmtId="0" fontId="1" fillId="0" borderId="0" xfId="0" applyFont="1" applyAlignment="1">
      <alignment vertical="center" wrapText="1"/>
    </xf>
    <xf numFmtId="0" fontId="22" fillId="0" borderId="0" xfId="3" applyFont="1" applyAlignment="1">
      <alignment vertical="center" wrapText="1"/>
    </xf>
    <xf numFmtId="0" fontId="34" fillId="0" borderId="0" xfId="3" applyAlignment="1">
      <alignment vertical="center" wrapText="1"/>
    </xf>
    <xf numFmtId="0" fontId="23" fillId="0" borderId="1" xfId="2" applyNumberFormat="1" applyFont="1" applyFill="1" applyBorder="1" applyAlignment="1" applyProtection="1">
      <alignment vertical="center" textRotation="255" wrapText="1"/>
    </xf>
    <xf numFmtId="0" fontId="1" fillId="0" borderId="6" xfId="3" applyFont="1" applyBorder="1" applyAlignment="1">
      <alignment horizontal="center" vertical="center" wrapText="1"/>
    </xf>
    <xf numFmtId="0" fontId="1" fillId="0" borderId="1" xfId="3" applyFont="1" applyBorder="1" applyAlignment="1">
      <alignment vertical="center" wrapText="1"/>
    </xf>
    <xf numFmtId="0" fontId="23" fillId="0" borderId="1" xfId="2" applyNumberFormat="1" applyFont="1" applyFill="1" applyBorder="1" applyAlignment="1" applyProtection="1">
      <alignment horizontal="center" vertical="center" textRotation="255" wrapText="1"/>
    </xf>
    <xf numFmtId="0" fontId="1" fillId="0" borderId="1" xfId="3" applyFont="1" applyBorder="1" applyAlignment="1">
      <alignment vertical="center" textRotation="255" wrapText="1"/>
    </xf>
    <xf numFmtId="0" fontId="22" fillId="0" borderId="1" xfId="2" applyNumberFormat="1" applyFont="1" applyFill="1" applyBorder="1" applyAlignment="1" applyProtection="1">
      <alignment vertical="center" textRotation="255" wrapText="1"/>
    </xf>
    <xf numFmtId="0" fontId="22" fillId="0" borderId="1" xfId="2" applyNumberFormat="1" applyFont="1" applyFill="1" applyBorder="1" applyAlignment="1" applyProtection="1">
      <alignment horizontal="center" vertical="center" textRotation="255"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24" fillId="0" borderId="1" xfId="0" applyFont="1" applyBorder="1" applyAlignment="1">
      <alignment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1" fillId="0" borderId="1" xfId="3" applyFont="1" applyBorder="1" applyAlignment="1">
      <alignment horizontal="center" vertical="center" textRotation="255" wrapText="1"/>
    </xf>
    <xf numFmtId="0" fontId="1" fillId="0" borderId="13" xfId="3" applyFont="1" applyBorder="1" applyAlignment="1">
      <alignment horizontal="center" vertical="center" wrapText="1"/>
    </xf>
    <xf numFmtId="0" fontId="1" fillId="0" borderId="13" xfId="0" applyFont="1" applyBorder="1" applyAlignment="1">
      <alignment horizontal="center" vertical="center" wrapText="1"/>
    </xf>
    <xf numFmtId="0" fontId="5" fillId="0" borderId="1" xfId="3" applyFont="1" applyBorder="1" applyAlignment="1">
      <alignment vertical="center" wrapText="1"/>
    </xf>
    <xf numFmtId="0" fontId="1" fillId="4" borderId="0" xfId="0" applyFont="1" applyFill="1" applyAlignment="1">
      <alignment vertical="center" wrapText="1"/>
    </xf>
    <xf numFmtId="0" fontId="1" fillId="4" borderId="0" xfId="3" applyFont="1" applyFill="1" applyAlignment="1">
      <alignment vertical="center" wrapText="1"/>
    </xf>
    <xf numFmtId="0" fontId="2" fillId="0" borderId="0" xfId="3" applyFont="1" applyAlignment="1">
      <alignment vertical="center" wrapText="1"/>
    </xf>
    <xf numFmtId="0" fontId="1" fillId="5"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5" fillId="0" borderId="9" xfId="0" applyFont="1" applyBorder="1" applyAlignment="1">
      <alignment vertical="center" wrapText="1"/>
    </xf>
    <xf numFmtId="0" fontId="5" fillId="0" borderId="6" xfId="0" applyFont="1" applyBorder="1" applyAlignment="1">
      <alignment vertical="center" wrapText="1"/>
    </xf>
    <xf numFmtId="0" fontId="1" fillId="0" borderId="2" xfId="3" applyFont="1" applyBorder="1" applyAlignment="1">
      <alignment vertical="center" wrapText="1"/>
    </xf>
    <xf numFmtId="0" fontId="1" fillId="0" borderId="6" xfId="3" applyFont="1" applyBorder="1" applyAlignment="1">
      <alignment vertical="center" wrapText="1"/>
    </xf>
    <xf numFmtId="0" fontId="1" fillId="4" borderId="2" xfId="0" applyFont="1" applyFill="1" applyBorder="1" applyAlignment="1">
      <alignment horizontal="center" vertical="center" wrapText="1"/>
    </xf>
    <xf numFmtId="0" fontId="1" fillId="4" borderId="1" xfId="3" applyFont="1" applyFill="1" applyBorder="1" applyAlignment="1">
      <alignment vertical="center" wrapText="1"/>
    </xf>
    <xf numFmtId="0" fontId="1" fillId="4" borderId="6" xfId="3" applyFont="1" applyFill="1" applyBorder="1" applyAlignment="1">
      <alignment vertical="center" wrapText="1"/>
    </xf>
    <xf numFmtId="0" fontId="1" fillId="4" borderId="1" xfId="3"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3" applyFont="1" applyBorder="1" applyAlignment="1">
      <alignment horizontal="center" vertical="center" wrapText="1"/>
    </xf>
    <xf numFmtId="0" fontId="2" fillId="0" borderId="1" xfId="3" applyFont="1" applyBorder="1" applyAlignment="1">
      <alignment vertical="center" wrapText="1"/>
    </xf>
    <xf numFmtId="0" fontId="1" fillId="0" borderId="5" xfId="3" applyFont="1" applyBorder="1" applyAlignment="1">
      <alignment vertical="center" wrapText="1"/>
    </xf>
    <xf numFmtId="0" fontId="1" fillId="3" borderId="7" xfId="3" applyFont="1" applyFill="1" applyBorder="1" applyAlignment="1">
      <alignment horizontal="center" vertical="center" wrapText="1"/>
    </xf>
    <xf numFmtId="0" fontId="1" fillId="3" borderId="1" xfId="3" applyFont="1" applyFill="1" applyBorder="1" applyAlignment="1">
      <alignment horizontal="center" vertical="center" wrapText="1"/>
    </xf>
    <xf numFmtId="0" fontId="1" fillId="3" borderId="3" xfId="3" applyFont="1" applyFill="1" applyBorder="1" applyAlignment="1">
      <alignment horizontal="center" vertical="center" wrapText="1"/>
    </xf>
    <xf numFmtId="0" fontId="1" fillId="3" borderId="1" xfId="3" applyFont="1" applyFill="1" applyBorder="1" applyAlignment="1">
      <alignment vertical="center" wrapText="1"/>
    </xf>
    <xf numFmtId="0" fontId="1" fillId="3" borderId="10" xfId="3" applyFont="1" applyFill="1" applyBorder="1" applyAlignment="1">
      <alignment horizontal="center" vertical="center" wrapText="1"/>
    </xf>
    <xf numFmtId="0" fontId="1" fillId="3" borderId="2" xfId="3" applyFont="1" applyFill="1" applyBorder="1" applyAlignment="1">
      <alignment horizontal="center" vertical="center" wrapText="1"/>
    </xf>
    <xf numFmtId="0" fontId="1" fillId="3" borderId="4" xfId="3" applyFont="1" applyFill="1" applyBorder="1" applyAlignment="1">
      <alignment horizontal="center" vertical="center" wrapText="1"/>
    </xf>
    <xf numFmtId="0" fontId="29" fillId="3" borderId="1" xfId="3" applyFont="1" applyFill="1" applyBorder="1" applyAlignment="1">
      <alignment horizontal="center" vertical="center" wrapText="1"/>
    </xf>
    <xf numFmtId="0" fontId="5" fillId="3" borderId="2" xfId="0" quotePrefix="1" applyFont="1" applyFill="1" applyBorder="1" applyAlignment="1">
      <alignment horizontal="center" vertical="center" wrapText="1"/>
    </xf>
    <xf numFmtId="0" fontId="5" fillId="3" borderId="1" xfId="0" quotePrefix="1" applyFont="1" applyFill="1" applyBorder="1" applyAlignment="1">
      <alignment horizontal="center" vertical="center" wrapText="1"/>
    </xf>
    <xf numFmtId="0" fontId="21" fillId="0" borderId="0" xfId="3" applyFont="1" applyAlignment="1">
      <alignment horizontal="center" vertical="center" wrapText="1"/>
    </xf>
    <xf numFmtId="0" fontId="22" fillId="0" borderId="0" xfId="3" applyFont="1" applyAlignment="1">
      <alignment horizontal="center" vertical="center" wrapText="1"/>
    </xf>
    <xf numFmtId="0" fontId="22" fillId="0" borderId="0" xfId="3" applyFont="1" applyAlignment="1">
      <alignment vertical="center" wrapText="1"/>
    </xf>
    <xf numFmtId="0" fontId="34" fillId="0" borderId="0" xfId="3" applyAlignment="1">
      <alignment vertical="center" wrapText="1"/>
    </xf>
    <xf numFmtId="0" fontId="34" fillId="0" borderId="0" xfId="3" applyAlignment="1">
      <alignment horizontal="center" vertical="center" wrapText="1"/>
    </xf>
    <xf numFmtId="0" fontId="34" fillId="0" borderId="0" xfId="3" applyAlignment="1">
      <alignment horizontal="left" vertical="center" wrapText="1"/>
    </xf>
    <xf numFmtId="0" fontId="1" fillId="0" borderId="2" xfId="3" applyFont="1" applyBorder="1" applyAlignment="1">
      <alignment horizontal="center" vertical="center" wrapText="1"/>
    </xf>
    <xf numFmtId="0" fontId="1" fillId="0" borderId="3" xfId="3" applyFont="1" applyBorder="1" applyAlignment="1">
      <alignment horizontal="center" vertical="center" wrapText="1"/>
    </xf>
    <xf numFmtId="0" fontId="1" fillId="0" borderId="1" xfId="3"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4" fillId="0" borderId="1" xfId="0" applyFont="1" applyBorder="1" applyAlignment="1">
      <alignment vertical="center" wrapText="1"/>
    </xf>
    <xf numFmtId="0" fontId="1" fillId="0" borderId="1" xfId="0" applyFont="1" applyBorder="1" applyAlignment="1">
      <alignment horizontal="left" vertical="center" wrapText="1"/>
    </xf>
    <xf numFmtId="0" fontId="1" fillId="0" borderId="0" xfId="3" applyFont="1" applyAlignment="1">
      <alignment horizontal="center" vertical="center" wrapText="1"/>
    </xf>
    <xf numFmtId="0" fontId="1" fillId="0" borderId="0" xfId="3" applyFont="1" applyAlignment="1">
      <alignment horizontal="left" vertical="center" wrapText="1"/>
    </xf>
    <xf numFmtId="0" fontId="1" fillId="0" borderId="5" xfId="3" applyFont="1" applyBorder="1" applyAlignment="1">
      <alignment horizontal="center" vertical="center" wrapText="1"/>
    </xf>
    <xf numFmtId="0" fontId="1" fillId="0" borderId="6" xfId="3"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 xfId="0" applyFont="1" applyBorder="1" applyAlignment="1">
      <alignment horizontal="center" vertical="center" wrapText="1"/>
    </xf>
    <xf numFmtId="0" fontId="23" fillId="0" borderId="1" xfId="2" applyNumberFormat="1" applyFont="1" applyFill="1" applyBorder="1" applyAlignment="1" applyProtection="1">
      <alignment vertical="center" textRotation="255" wrapText="1"/>
    </xf>
    <xf numFmtId="0" fontId="1" fillId="0" borderId="1" xfId="3" applyFont="1" applyBorder="1" applyAlignment="1">
      <alignment horizontal="center" vertical="center" textRotation="255" wrapText="1"/>
    </xf>
    <xf numFmtId="0" fontId="1" fillId="0" borderId="1" xfId="3" applyFont="1" applyBorder="1" applyAlignment="1">
      <alignment horizontal="left" vertical="center" wrapText="1"/>
    </xf>
    <xf numFmtId="0" fontId="1" fillId="0" borderId="5" xfId="0" applyFont="1" applyBorder="1" applyAlignment="1">
      <alignment horizontal="left" vertical="center" wrapText="1"/>
    </xf>
    <xf numFmtId="0" fontId="1" fillId="0" borderId="9" xfId="0" applyFont="1" applyBorder="1" applyAlignment="1">
      <alignment horizontal="left" vertical="center" wrapText="1"/>
    </xf>
    <xf numFmtId="0" fontId="1" fillId="0" borderId="6" xfId="0" applyFont="1" applyBorder="1" applyAlignment="1">
      <alignment horizontal="left" vertical="center" wrapText="1"/>
    </xf>
    <xf numFmtId="0" fontId="26" fillId="0" borderId="1" xfId="3" applyFont="1" applyBorder="1" applyAlignment="1">
      <alignment horizontal="center" vertical="center" textRotation="255" wrapText="1"/>
    </xf>
    <xf numFmtId="0" fontId="26" fillId="0" borderId="1" xfId="0" applyFont="1" applyBorder="1" applyAlignment="1">
      <alignment horizontal="center" vertical="center" wrapText="1"/>
    </xf>
    <xf numFmtId="0" fontId="1" fillId="0" borderId="9" xfId="3" applyFont="1" applyBorder="1" applyAlignment="1">
      <alignment horizontal="center" vertical="center" wrapText="1"/>
    </xf>
    <xf numFmtId="0" fontId="26" fillId="0" borderId="1" xfId="3" applyFont="1" applyBorder="1" applyAlignment="1">
      <alignment horizontal="center" vertical="center" wrapText="1"/>
    </xf>
    <xf numFmtId="0" fontId="5"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25" fillId="0" borderId="1" xfId="0" applyFont="1" applyBorder="1" applyAlignment="1">
      <alignment horizontal="left" vertical="center" wrapText="1"/>
    </xf>
    <xf numFmtId="0" fontId="25" fillId="0" borderId="1" xfId="0" applyFont="1" applyBorder="1" applyAlignment="1">
      <alignment horizontal="center" vertical="center" wrapText="1"/>
    </xf>
    <xf numFmtId="0" fontId="27" fillId="0" borderId="1" xfId="0" applyFont="1" applyBorder="1" applyAlignment="1">
      <alignment horizontal="left" vertical="center" wrapText="1"/>
    </xf>
    <xf numFmtId="0" fontId="21" fillId="0" borderId="0" xfId="3" applyFont="1" applyAlignment="1">
      <alignment horizontal="right" vertical="center" wrapText="1"/>
    </xf>
    <xf numFmtId="0" fontId="28" fillId="0" borderId="0" xfId="3" applyFont="1" applyAlignment="1">
      <alignment horizontal="right" vertical="center" wrapText="1"/>
    </xf>
    <xf numFmtId="0" fontId="1" fillId="5"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4" xfId="0" applyFont="1" applyBorder="1" applyAlignment="1">
      <alignment horizontal="center" vertical="center" wrapText="1"/>
    </xf>
    <xf numFmtId="0" fontId="1" fillId="6" borderId="7"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3" borderId="5" xfId="3" applyFont="1" applyFill="1" applyBorder="1" applyAlignment="1">
      <alignment horizontal="center" vertical="center" wrapText="1"/>
    </xf>
    <xf numFmtId="0" fontId="1" fillId="3" borderId="9" xfId="3" applyFont="1" applyFill="1" applyBorder="1" applyAlignment="1">
      <alignment horizontal="center" vertical="center" wrapText="1"/>
    </xf>
    <xf numFmtId="0" fontId="1" fillId="3" borderId="6" xfId="3" applyFont="1" applyFill="1" applyBorder="1" applyAlignment="1">
      <alignment horizontal="center" vertical="center" wrapText="1"/>
    </xf>
    <xf numFmtId="0" fontId="1" fillId="3" borderId="1" xfId="3" applyFont="1" applyFill="1" applyBorder="1" applyAlignment="1">
      <alignment horizontal="center" vertical="center" wrapText="1"/>
    </xf>
    <xf numFmtId="0" fontId="1" fillId="4" borderId="1" xfId="0" applyFont="1" applyFill="1" applyBorder="1" applyAlignment="1">
      <alignment vertical="center" wrapText="1"/>
    </xf>
    <xf numFmtId="0" fontId="1" fillId="6" borderId="5"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0" borderId="1" xfId="3" applyFont="1" applyBorder="1" applyAlignment="1">
      <alignment vertical="center" textRotation="255" wrapText="1"/>
    </xf>
    <xf numFmtId="0" fontId="1" fillId="4" borderId="1" xfId="0" applyFont="1" applyFill="1" applyBorder="1" applyAlignment="1">
      <alignment horizontal="left" vertical="center" wrapText="1"/>
    </xf>
    <xf numFmtId="0" fontId="1" fillId="4" borderId="5" xfId="0" applyFont="1" applyFill="1" applyBorder="1" applyAlignment="1">
      <alignment vertical="center" wrapText="1"/>
    </xf>
    <xf numFmtId="0" fontId="1" fillId="4" borderId="9" xfId="0" applyFont="1" applyFill="1" applyBorder="1" applyAlignment="1">
      <alignment vertical="center" wrapText="1"/>
    </xf>
    <xf numFmtId="0" fontId="1" fillId="4" borderId="5"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 fillId="4" borderId="9" xfId="0" applyFont="1" applyFill="1" applyBorder="1" applyAlignment="1">
      <alignment horizontal="left" vertical="center" wrapText="1"/>
    </xf>
    <xf numFmtId="0" fontId="2" fillId="0" borderId="1" xfId="0" applyFont="1" applyBorder="1" applyAlignment="1">
      <alignment horizontal="left" vertical="center" wrapText="1"/>
    </xf>
    <xf numFmtId="0" fontId="1" fillId="4" borderId="6" xfId="0" applyFont="1" applyFill="1" applyBorder="1" applyAlignment="1">
      <alignment horizontal="left" vertical="center" wrapText="1"/>
    </xf>
    <xf numFmtId="0" fontId="1" fillId="3" borderId="5" xfId="3" applyFont="1" applyFill="1" applyBorder="1" applyAlignment="1">
      <alignment horizontal="left" vertical="center" wrapText="1"/>
    </xf>
    <xf numFmtId="0" fontId="1" fillId="3" borderId="9" xfId="3" applyFont="1" applyFill="1" applyBorder="1" applyAlignment="1">
      <alignment horizontal="left" vertical="center" wrapText="1"/>
    </xf>
    <xf numFmtId="0" fontId="1" fillId="3" borderId="6" xfId="3" applyFont="1" applyFill="1" applyBorder="1" applyAlignment="1">
      <alignment horizontal="left" vertical="center" wrapText="1"/>
    </xf>
    <xf numFmtId="0" fontId="1" fillId="3" borderId="1" xfId="3" applyFont="1" applyFill="1" applyBorder="1" applyAlignment="1">
      <alignment horizontal="left" vertical="center" wrapText="1"/>
    </xf>
    <xf numFmtId="0" fontId="1"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5" fillId="0" borderId="9" xfId="0" applyFont="1" applyBorder="1" applyAlignment="1">
      <alignment horizontal="center" vertical="center" wrapText="1"/>
    </xf>
    <xf numFmtId="0" fontId="2" fillId="0" borderId="1" xfId="3" applyFont="1" applyBorder="1" applyAlignment="1">
      <alignment horizontal="center" vertical="center" wrapText="1"/>
    </xf>
    <xf numFmtId="0" fontId="1" fillId="3" borderId="7" xfId="3" applyFont="1" applyFill="1" applyBorder="1" applyAlignment="1">
      <alignment horizontal="center" vertical="center" wrapText="1"/>
    </xf>
    <xf numFmtId="0" fontId="1" fillId="3" borderId="8" xfId="3" applyFont="1" applyFill="1" applyBorder="1" applyAlignment="1">
      <alignment horizontal="center" vertical="center" wrapText="1"/>
    </xf>
    <xf numFmtId="0" fontId="1" fillId="3" borderId="10" xfId="3" applyFont="1" applyFill="1" applyBorder="1" applyAlignment="1">
      <alignment horizontal="center" vertical="center" wrapText="1"/>
    </xf>
    <xf numFmtId="0" fontId="1" fillId="3" borderId="11" xfId="3" applyFont="1" applyFill="1" applyBorder="1" applyAlignment="1">
      <alignment horizontal="center" vertical="center" wrapText="1"/>
    </xf>
    <xf numFmtId="0" fontId="1" fillId="3" borderId="4" xfId="3" applyFont="1" applyFill="1" applyBorder="1" applyAlignment="1">
      <alignment horizontal="center" vertical="center" wrapText="1"/>
    </xf>
    <xf numFmtId="0" fontId="1" fillId="3" borderId="12" xfId="3"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0" fillId="0" borderId="0" xfId="0" applyAlignment="1">
      <alignment horizontal="center" vertical="center"/>
    </xf>
    <xf numFmtId="0" fontId="20" fillId="0" borderId="1" xfId="0" applyFont="1" applyBorder="1" applyAlignment="1">
      <alignment horizontal="left" vertical="center" wrapText="1"/>
    </xf>
    <xf numFmtId="0" fontId="20" fillId="0" borderId="1" xfId="0" applyFont="1" applyBorder="1" applyAlignment="1">
      <alignment horizontal="left"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6" fillId="0" borderId="1" xfId="0" applyFont="1" applyBorder="1" applyAlignment="1">
      <alignment horizontal="center" vertical="center"/>
    </xf>
    <xf numFmtId="0" fontId="16" fillId="0" borderId="1" xfId="0" applyFont="1" applyBorder="1">
      <alignment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cellXfs>
  <cellStyles count="6">
    <cellStyle name="百分比" xfId="1" builtinId="5"/>
    <cellStyle name="常规" xfId="0" builtinId="0"/>
    <cellStyle name="常规 2" xfId="3" xr:uid="{00000000-0005-0000-0000-000032000000}"/>
    <cellStyle name="常规_Sheet1" xfId="4" xr:uid="{00000000-0005-0000-0000-000034000000}"/>
    <cellStyle name="常规_血压计_276" xfId="5" xr:uid="{00000000-0005-0000-0000-000035000000}"/>
    <cellStyle name="超链接" xfId="2" builtinId="8"/>
  </cellStyles>
  <dxfs count="0"/>
  <tableStyles count="0" defaultTableStyle="TableStyleMedium2" defaultPivotStyle="PivotStyleLight16"/>
  <colors>
    <mruColors>
      <color rgb="FF00B050"/>
      <color rgb="FF161616"/>
      <color rgb="FFFFC000"/>
      <color rgb="FF1F4E78"/>
      <color rgb="FFFF0000"/>
      <color rgb="FFFFFF00"/>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495300</xdr:colOff>
      <xdr:row>4</xdr:row>
      <xdr:rowOff>9525</xdr:rowOff>
    </xdr:from>
    <xdr:to>
      <xdr:col>21</xdr:col>
      <xdr:colOff>304800</xdr:colOff>
      <xdr:row>4</xdr:row>
      <xdr:rowOff>19050</xdr:rowOff>
    </xdr:to>
    <xdr:sp macro="" textlink="">
      <xdr:nvSpPr>
        <xdr:cNvPr id="237995" name="Line 1">
          <a:extLst>
            <a:ext uri="{FF2B5EF4-FFF2-40B4-BE49-F238E27FC236}">
              <a16:creationId xmlns:a16="http://schemas.microsoft.com/office/drawing/2014/main" id="{00000000-0008-0000-0000-0000ABA10300}"/>
            </a:ext>
          </a:extLst>
        </xdr:cNvPr>
        <xdr:cNvSpPr/>
      </xdr:nvSpPr>
      <xdr:spPr>
        <a:xfrm flipV="1">
          <a:off x="495300" y="1087755"/>
          <a:ext cx="9582150" cy="9525"/>
        </a:xfrm>
        <a:prstGeom prst="line">
          <a:avLst/>
        </a:prstGeom>
        <a:ln w="12700" cap="flat" cmpd="sng">
          <a:solidFill>
            <a:srgbClr val="000000"/>
          </a:solidFill>
          <a:prstDash val="solid"/>
          <a:round/>
          <a:headEnd type="none" w="med" len="med"/>
          <a:tailEnd type="none" w="med" len="med"/>
        </a:ln>
      </xdr:spPr>
    </xdr:sp>
    <xdr:clientData/>
  </xdr:twoCellAnchor>
  <xdr:twoCellAnchor>
    <xdr:from>
      <xdr:col>21</xdr:col>
      <xdr:colOff>457200</xdr:colOff>
      <xdr:row>8</xdr:row>
      <xdr:rowOff>0</xdr:rowOff>
    </xdr:from>
    <xdr:to>
      <xdr:col>26</xdr:col>
      <xdr:colOff>88265</xdr:colOff>
      <xdr:row>9</xdr:row>
      <xdr:rowOff>100330</xdr:rowOff>
    </xdr:to>
    <xdr:sp macro="" textlink="">
      <xdr:nvSpPr>
        <xdr:cNvPr id="2" name="线形标注 1 1">
          <a:extLst>
            <a:ext uri="{FF2B5EF4-FFF2-40B4-BE49-F238E27FC236}">
              <a16:creationId xmlns:a16="http://schemas.microsoft.com/office/drawing/2014/main" id="{00000000-0008-0000-0000-000002000000}"/>
            </a:ext>
          </a:extLst>
        </xdr:cNvPr>
        <xdr:cNvSpPr/>
      </xdr:nvSpPr>
      <xdr:spPr>
        <a:xfrm>
          <a:off x="10229850" y="3328035"/>
          <a:ext cx="3107690" cy="1065530"/>
        </a:xfrm>
        <a:prstGeom prst="borderCallout1">
          <a:avLst>
            <a:gd name="adj1" fmla="val 18767"/>
            <a:gd name="adj2" fmla="val -2649"/>
            <a:gd name="adj3" fmla="val 49857"/>
            <a:gd name="adj4" fmla="val -172108"/>
          </a:avLst>
        </a:prstGeom>
        <a:solidFill>
          <a:schemeClr val="accent4">
            <a:lumMod val="40000"/>
            <a:lumOff val="60000"/>
          </a:schemeClr>
        </a:solidFill>
        <a:ln w="12700" cap="flat" cmpd="sng">
          <a:solidFill>
            <a:srgbClr val="FF0000"/>
          </a:solidFill>
          <a:prstDash val="sysDot"/>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邦定车间生产时写入不良数据</a:t>
          </a:r>
          <a:r>
            <a:rPr lang="en-US" altLang="zh-CN"/>
            <a:t>+</a:t>
          </a:r>
          <a:r>
            <a:rPr lang="zh-CN" altLang="en-US"/>
            <a:t>机芯</a:t>
          </a:r>
          <a:r>
            <a:rPr lang="en-US" altLang="zh-CN"/>
            <a:t>/</a:t>
          </a:r>
          <a:r>
            <a:rPr lang="zh-CN" altLang="en-US"/>
            <a:t>组装</a:t>
          </a:r>
          <a:r>
            <a:rPr lang="en-US" altLang="zh-CN"/>
            <a:t>/</a:t>
          </a:r>
          <a:r>
            <a:rPr lang="zh-CN" altLang="en-US"/>
            <a:t>出货车间维修品程序不良比例（</a:t>
          </a:r>
          <a:r>
            <a:rPr lang="en-US" altLang="zh-CN"/>
            <a:t>2</a:t>
          </a:r>
          <a:r>
            <a:rPr lang="zh-CN" altLang="en-US"/>
            <a:t>代表万分之一到万分之五之间，本次数据万分之四）。</a:t>
          </a:r>
        </a:p>
      </xdr:txBody>
    </xdr:sp>
    <xdr:clientData/>
  </xdr:twoCellAnchor>
  <xdr:twoCellAnchor>
    <xdr:from>
      <xdr:col>21</xdr:col>
      <xdr:colOff>457200</xdr:colOff>
      <xdr:row>6</xdr:row>
      <xdr:rowOff>673100</xdr:rowOff>
    </xdr:from>
    <xdr:to>
      <xdr:col>24</xdr:col>
      <xdr:colOff>365760</xdr:colOff>
      <xdr:row>7</xdr:row>
      <xdr:rowOff>290195</xdr:rowOff>
    </xdr:to>
    <xdr:sp macro="" textlink="">
      <xdr:nvSpPr>
        <xdr:cNvPr id="3" name="线形标注 1 2">
          <a:extLst>
            <a:ext uri="{FF2B5EF4-FFF2-40B4-BE49-F238E27FC236}">
              <a16:creationId xmlns:a16="http://schemas.microsoft.com/office/drawing/2014/main" id="{00000000-0008-0000-0000-000003000000}"/>
            </a:ext>
          </a:extLst>
        </xdr:cNvPr>
        <xdr:cNvSpPr/>
      </xdr:nvSpPr>
      <xdr:spPr>
        <a:xfrm>
          <a:off x="10229850" y="2109470"/>
          <a:ext cx="2013585" cy="543560"/>
        </a:xfrm>
        <a:prstGeom prst="borderCallout1">
          <a:avLst>
            <a:gd name="adj1" fmla="val 18750"/>
            <a:gd name="adj2" fmla="val -8333"/>
            <a:gd name="adj3" fmla="val 54123"/>
            <a:gd name="adj4" fmla="val -263877"/>
          </a:avLst>
        </a:prstGeom>
        <a:solidFill>
          <a:schemeClr val="accent4">
            <a:lumMod val="40000"/>
            <a:lumOff val="60000"/>
          </a:schemeClr>
        </a:solidFill>
        <a:ln w="12700" cap="flat" cmpd="sng">
          <a:solidFill>
            <a:srgbClr val="FF0000"/>
          </a:solidFill>
          <a:prstDash val="sysDash"/>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来源于客诉数据（</a:t>
          </a:r>
          <a:r>
            <a:rPr lang="en-US" altLang="zh-CN"/>
            <a:t>1</a:t>
          </a:r>
          <a:r>
            <a:rPr lang="zh-CN" altLang="en-US"/>
            <a:t>代表万分之一以下，详见客诉数据）</a:t>
          </a:r>
        </a:p>
      </xdr:txBody>
    </xdr:sp>
    <xdr:clientData/>
  </xdr:twoCellAnchor>
  <xdr:twoCellAnchor>
    <xdr:from>
      <xdr:col>21</xdr:col>
      <xdr:colOff>428625</xdr:colOff>
      <xdr:row>19</xdr:row>
      <xdr:rowOff>95250</xdr:rowOff>
    </xdr:from>
    <xdr:to>
      <xdr:col>24</xdr:col>
      <xdr:colOff>337185</xdr:colOff>
      <xdr:row>19</xdr:row>
      <xdr:rowOff>292100</xdr:rowOff>
    </xdr:to>
    <xdr:sp macro="" textlink="">
      <xdr:nvSpPr>
        <xdr:cNvPr id="4" name="线形标注 1 3">
          <a:extLst>
            <a:ext uri="{FF2B5EF4-FFF2-40B4-BE49-F238E27FC236}">
              <a16:creationId xmlns:a16="http://schemas.microsoft.com/office/drawing/2014/main" id="{00000000-0008-0000-0000-000004000000}"/>
            </a:ext>
          </a:extLst>
        </xdr:cNvPr>
        <xdr:cNvSpPr/>
      </xdr:nvSpPr>
      <xdr:spPr>
        <a:xfrm>
          <a:off x="10201275" y="12249785"/>
          <a:ext cx="2013585" cy="196850"/>
        </a:xfrm>
        <a:prstGeom prst="borderCallout1">
          <a:avLst>
            <a:gd name="adj1" fmla="val 18750"/>
            <a:gd name="adj2" fmla="val -8333"/>
            <a:gd name="adj3" fmla="val 54123"/>
            <a:gd name="adj4" fmla="val -263877"/>
          </a:avLst>
        </a:prstGeom>
        <a:solidFill>
          <a:schemeClr val="accent4">
            <a:lumMod val="40000"/>
            <a:lumOff val="60000"/>
          </a:schemeClr>
        </a:solidFill>
        <a:ln w="12700" cap="flat" cmpd="sng">
          <a:solidFill>
            <a:srgbClr val="FF0000"/>
          </a:solidFill>
          <a:prstDash val="sysDash"/>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来源于客诉数据</a:t>
          </a:r>
        </a:p>
      </xdr:txBody>
    </xdr:sp>
    <xdr:clientData/>
  </xdr:twoCellAnchor>
  <xdr:twoCellAnchor>
    <xdr:from>
      <xdr:col>21</xdr:col>
      <xdr:colOff>409575</xdr:colOff>
      <xdr:row>9</xdr:row>
      <xdr:rowOff>192405</xdr:rowOff>
    </xdr:from>
    <xdr:to>
      <xdr:col>24</xdr:col>
      <xdr:colOff>318135</xdr:colOff>
      <xdr:row>9</xdr:row>
      <xdr:rowOff>588010</xdr:rowOff>
    </xdr:to>
    <xdr:sp macro="" textlink="">
      <xdr:nvSpPr>
        <xdr:cNvPr id="5" name="线形标注 1 4">
          <a:extLst>
            <a:ext uri="{FF2B5EF4-FFF2-40B4-BE49-F238E27FC236}">
              <a16:creationId xmlns:a16="http://schemas.microsoft.com/office/drawing/2014/main" id="{00000000-0008-0000-0000-000005000000}"/>
            </a:ext>
          </a:extLst>
        </xdr:cNvPr>
        <xdr:cNvSpPr/>
      </xdr:nvSpPr>
      <xdr:spPr>
        <a:xfrm>
          <a:off x="10182225" y="4485640"/>
          <a:ext cx="2013585" cy="395605"/>
        </a:xfrm>
        <a:prstGeom prst="borderCallout1">
          <a:avLst>
            <a:gd name="adj1" fmla="val 18750"/>
            <a:gd name="adj2" fmla="val -8333"/>
            <a:gd name="adj3" fmla="val 54123"/>
            <a:gd name="adj4" fmla="val -263877"/>
          </a:avLst>
        </a:prstGeom>
        <a:solidFill>
          <a:schemeClr val="accent4">
            <a:lumMod val="40000"/>
            <a:lumOff val="60000"/>
          </a:schemeClr>
        </a:solidFill>
        <a:ln w="12700" cap="flat" cmpd="sng">
          <a:solidFill>
            <a:srgbClr val="FF0000"/>
          </a:solidFill>
          <a:prstDash val="sysDash"/>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来源于出货检验数据</a:t>
          </a:r>
          <a:r>
            <a:rPr lang="en-US" altLang="zh-CN"/>
            <a:t>+</a:t>
          </a:r>
          <a:r>
            <a:rPr lang="zh-CN" altLang="en-US"/>
            <a:t>客诉数据</a:t>
          </a:r>
        </a:p>
      </xdr:txBody>
    </xdr:sp>
    <xdr:clientData/>
  </xdr:twoCellAnchor>
  <xdr:twoCellAnchor>
    <xdr:from>
      <xdr:col>21</xdr:col>
      <xdr:colOff>427990</xdr:colOff>
      <xdr:row>20</xdr:row>
      <xdr:rowOff>25400</xdr:rowOff>
    </xdr:from>
    <xdr:to>
      <xdr:col>25</xdr:col>
      <xdr:colOff>97790</xdr:colOff>
      <xdr:row>21</xdr:row>
      <xdr:rowOff>260350</xdr:rowOff>
    </xdr:to>
    <xdr:sp macro="" textlink="">
      <xdr:nvSpPr>
        <xdr:cNvPr id="6" name="线形标注 1 5">
          <a:extLst>
            <a:ext uri="{FF2B5EF4-FFF2-40B4-BE49-F238E27FC236}">
              <a16:creationId xmlns:a16="http://schemas.microsoft.com/office/drawing/2014/main" id="{00000000-0008-0000-0000-000006000000}"/>
            </a:ext>
          </a:extLst>
        </xdr:cNvPr>
        <xdr:cNvSpPr/>
      </xdr:nvSpPr>
      <xdr:spPr>
        <a:xfrm>
          <a:off x="10200640" y="13107035"/>
          <a:ext cx="2460625" cy="1162050"/>
        </a:xfrm>
        <a:prstGeom prst="borderCallout1">
          <a:avLst>
            <a:gd name="adj1" fmla="val 18767"/>
            <a:gd name="adj2" fmla="val -2649"/>
            <a:gd name="adj3" fmla="val 55545"/>
            <a:gd name="adj4" fmla="val -214709"/>
          </a:avLst>
        </a:prstGeom>
        <a:solidFill>
          <a:schemeClr val="accent4">
            <a:lumMod val="40000"/>
            <a:lumOff val="60000"/>
          </a:schemeClr>
        </a:solidFill>
        <a:ln w="12700" cap="flat" cmpd="sng">
          <a:solidFill>
            <a:srgbClr val="FF0000"/>
          </a:solidFill>
          <a:prstDash val="sysDot"/>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机芯车间维修程序不良比例</a:t>
          </a:r>
          <a:r>
            <a:rPr lang="en-US" altLang="zh-CN"/>
            <a:t>+</a:t>
          </a:r>
          <a:r>
            <a:rPr lang="zh-CN" altLang="en-US"/>
            <a:t>组装车间维修不良中程序不良比例</a:t>
          </a:r>
          <a:r>
            <a:rPr lang="en-US" altLang="zh-CN">
              <a:solidFill>
                <a:sysClr val="windowText" lastClr="000000"/>
              </a:solidFill>
            </a:rPr>
            <a:t>+</a:t>
          </a:r>
          <a:r>
            <a:rPr lang="zh-CN" altLang="en-US">
              <a:solidFill>
                <a:sysClr val="windowText" lastClr="000000"/>
              </a:solidFill>
            </a:rPr>
            <a:t>出货检验程序不良比例</a:t>
          </a:r>
        </a:p>
      </xdr:txBody>
    </xdr:sp>
    <xdr:clientData/>
  </xdr:twoCellAnchor>
  <xdr:twoCellAnchor>
    <xdr:from>
      <xdr:col>21</xdr:col>
      <xdr:colOff>495300</xdr:colOff>
      <xdr:row>22</xdr:row>
      <xdr:rowOff>27940</xdr:rowOff>
    </xdr:from>
    <xdr:to>
      <xdr:col>25</xdr:col>
      <xdr:colOff>136525</xdr:colOff>
      <xdr:row>25</xdr:row>
      <xdr:rowOff>224790</xdr:rowOff>
    </xdr:to>
    <xdr:sp macro="" textlink="">
      <xdr:nvSpPr>
        <xdr:cNvPr id="7" name="线形标注 1 8">
          <a:extLst>
            <a:ext uri="{FF2B5EF4-FFF2-40B4-BE49-F238E27FC236}">
              <a16:creationId xmlns:a16="http://schemas.microsoft.com/office/drawing/2014/main" id="{00000000-0008-0000-0000-000007000000}"/>
            </a:ext>
          </a:extLst>
        </xdr:cNvPr>
        <xdr:cNvSpPr/>
      </xdr:nvSpPr>
      <xdr:spPr>
        <a:xfrm>
          <a:off x="10267950" y="14963775"/>
          <a:ext cx="2432050" cy="1682750"/>
        </a:xfrm>
        <a:prstGeom prst="borderCallout1">
          <a:avLst>
            <a:gd name="adj1" fmla="val -6250"/>
            <a:gd name="adj2" fmla="val -9112"/>
            <a:gd name="adj3" fmla="val 14133"/>
            <a:gd name="adj4" fmla="val -223133"/>
          </a:avLst>
        </a:prstGeom>
        <a:solidFill>
          <a:schemeClr val="accent4">
            <a:lumMod val="40000"/>
            <a:lumOff val="60000"/>
          </a:schemeClr>
        </a:solidFill>
        <a:ln w="12700" cap="flat" cmpd="sng">
          <a:solidFill>
            <a:srgbClr val="FF0000"/>
          </a:solidFill>
          <a:prstDash val="sysDash"/>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来源于出货检验数据</a:t>
          </a:r>
          <a:r>
            <a:rPr lang="en-US" altLang="zh-CN"/>
            <a:t>+</a:t>
          </a:r>
          <a:r>
            <a:rPr lang="zh-CN" altLang="en-US"/>
            <a:t>客诉数据</a:t>
          </a:r>
        </a:p>
      </xdr:txBody>
    </xdr:sp>
    <xdr:clientData/>
  </xdr:twoCellAnchor>
  <xdr:twoCellAnchor>
    <xdr:from>
      <xdr:col>27</xdr:col>
      <xdr:colOff>123825</xdr:colOff>
      <xdr:row>7</xdr:row>
      <xdr:rowOff>152400</xdr:rowOff>
    </xdr:from>
    <xdr:to>
      <xdr:col>28</xdr:col>
      <xdr:colOff>495935</xdr:colOff>
      <xdr:row>7</xdr:row>
      <xdr:rowOff>485775</xdr:rowOff>
    </xdr:to>
    <xdr:sp macro="" textlink="">
      <xdr:nvSpPr>
        <xdr:cNvPr id="8" name="矩形 7">
          <a:extLst>
            <a:ext uri="{FF2B5EF4-FFF2-40B4-BE49-F238E27FC236}">
              <a16:creationId xmlns:a16="http://schemas.microsoft.com/office/drawing/2014/main" id="{00000000-0008-0000-0000-000008000000}"/>
            </a:ext>
          </a:extLst>
        </xdr:cNvPr>
        <xdr:cNvSpPr/>
      </xdr:nvSpPr>
      <xdr:spPr>
        <a:xfrm>
          <a:off x="14058900" y="2515235"/>
          <a:ext cx="1057910" cy="333375"/>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p>
          <a:r>
            <a:rPr lang="zh-CN" altLang="en-US"/>
            <a:t>成立分析小组</a:t>
          </a:r>
        </a:p>
      </xdr:txBody>
    </xdr:sp>
    <xdr:clientData/>
  </xdr:twoCellAnchor>
  <xdr:twoCellAnchor>
    <xdr:from>
      <xdr:col>26</xdr:col>
      <xdr:colOff>419100</xdr:colOff>
      <xdr:row>8</xdr:row>
      <xdr:rowOff>114300</xdr:rowOff>
    </xdr:from>
    <xdr:to>
      <xdr:col>29</xdr:col>
      <xdr:colOff>209550</xdr:colOff>
      <xdr:row>9</xdr:row>
      <xdr:rowOff>57150</xdr:rowOff>
    </xdr:to>
    <xdr:sp macro="" textlink="">
      <xdr:nvSpPr>
        <xdr:cNvPr id="9" name="流程图: 决策 8">
          <a:extLst>
            <a:ext uri="{FF2B5EF4-FFF2-40B4-BE49-F238E27FC236}">
              <a16:creationId xmlns:a16="http://schemas.microsoft.com/office/drawing/2014/main" id="{00000000-0008-0000-0000-000009000000}"/>
            </a:ext>
          </a:extLst>
        </xdr:cNvPr>
        <xdr:cNvSpPr/>
      </xdr:nvSpPr>
      <xdr:spPr>
        <a:xfrm>
          <a:off x="13668375" y="3442335"/>
          <a:ext cx="1847850" cy="908050"/>
        </a:xfrm>
        <a:prstGeom prst="flowChartDecision">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p>
          <a:r>
            <a:rPr lang="zh-CN" altLang="en-US"/>
            <a:t>潜在失效模式分析</a:t>
          </a:r>
        </a:p>
      </xdr:txBody>
    </xdr:sp>
    <xdr:clientData/>
  </xdr:twoCellAnchor>
  <xdr:twoCellAnchor>
    <xdr:from>
      <xdr:col>26</xdr:col>
      <xdr:colOff>514350</xdr:colOff>
      <xdr:row>10</xdr:row>
      <xdr:rowOff>868680</xdr:rowOff>
    </xdr:from>
    <xdr:to>
      <xdr:col>29</xdr:col>
      <xdr:colOff>304800</xdr:colOff>
      <xdr:row>11</xdr:row>
      <xdr:rowOff>552450</xdr:rowOff>
    </xdr:to>
    <xdr:sp macro="" textlink="">
      <xdr:nvSpPr>
        <xdr:cNvPr id="10" name="流程图: 决策 9">
          <a:extLst>
            <a:ext uri="{FF2B5EF4-FFF2-40B4-BE49-F238E27FC236}">
              <a16:creationId xmlns:a16="http://schemas.microsoft.com/office/drawing/2014/main" id="{00000000-0008-0000-0000-00000A000000}"/>
            </a:ext>
          </a:extLst>
        </xdr:cNvPr>
        <xdr:cNvSpPr/>
      </xdr:nvSpPr>
      <xdr:spPr>
        <a:xfrm>
          <a:off x="13763625" y="6127115"/>
          <a:ext cx="1847850" cy="763270"/>
        </a:xfrm>
        <a:prstGeom prst="flowChartDecision">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t>严重度判定</a:t>
          </a:r>
        </a:p>
      </xdr:txBody>
    </xdr:sp>
    <xdr:clientData/>
  </xdr:twoCellAnchor>
  <xdr:twoCellAnchor>
    <xdr:from>
      <xdr:col>26</xdr:col>
      <xdr:colOff>438150</xdr:colOff>
      <xdr:row>9</xdr:row>
      <xdr:rowOff>438150</xdr:rowOff>
    </xdr:from>
    <xdr:to>
      <xdr:col>29</xdr:col>
      <xdr:colOff>228600</xdr:colOff>
      <xdr:row>10</xdr:row>
      <xdr:rowOff>381000</xdr:rowOff>
    </xdr:to>
    <xdr:sp macro="" textlink="">
      <xdr:nvSpPr>
        <xdr:cNvPr id="11" name="流程图: 决策 10">
          <a:extLst>
            <a:ext uri="{FF2B5EF4-FFF2-40B4-BE49-F238E27FC236}">
              <a16:creationId xmlns:a16="http://schemas.microsoft.com/office/drawing/2014/main" id="{00000000-0008-0000-0000-00000B000000}"/>
            </a:ext>
          </a:extLst>
        </xdr:cNvPr>
        <xdr:cNvSpPr/>
      </xdr:nvSpPr>
      <xdr:spPr>
        <a:xfrm>
          <a:off x="13687425" y="4731385"/>
          <a:ext cx="1847850" cy="908050"/>
        </a:xfrm>
        <a:prstGeom prst="flowChartDecision">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t>潜在失效后果判定</a:t>
          </a:r>
        </a:p>
      </xdr:txBody>
    </xdr:sp>
    <xdr:clientData/>
  </xdr:twoCellAnchor>
  <xdr:twoCellAnchor>
    <xdr:from>
      <xdr:col>26</xdr:col>
      <xdr:colOff>523875</xdr:colOff>
      <xdr:row>12</xdr:row>
      <xdr:rowOff>59055</xdr:rowOff>
    </xdr:from>
    <xdr:to>
      <xdr:col>29</xdr:col>
      <xdr:colOff>314325</xdr:colOff>
      <xdr:row>12</xdr:row>
      <xdr:rowOff>822325</xdr:rowOff>
    </xdr:to>
    <xdr:sp macro="" textlink="">
      <xdr:nvSpPr>
        <xdr:cNvPr id="12" name="流程图: 决策 11">
          <a:extLst>
            <a:ext uri="{FF2B5EF4-FFF2-40B4-BE49-F238E27FC236}">
              <a16:creationId xmlns:a16="http://schemas.microsoft.com/office/drawing/2014/main" id="{00000000-0008-0000-0000-00000C000000}"/>
            </a:ext>
          </a:extLst>
        </xdr:cNvPr>
        <xdr:cNvSpPr/>
      </xdr:nvSpPr>
      <xdr:spPr>
        <a:xfrm>
          <a:off x="13773150" y="7476490"/>
          <a:ext cx="1847850" cy="763270"/>
        </a:xfrm>
        <a:prstGeom prst="flowChartDecision">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t>失效起因</a:t>
          </a:r>
          <a:r>
            <a:rPr lang="en-US" altLang="zh-CN"/>
            <a:t>/</a:t>
          </a:r>
          <a:r>
            <a:rPr lang="zh-CN" altLang="en-US"/>
            <a:t>机理判定</a:t>
          </a:r>
        </a:p>
      </xdr:txBody>
    </xdr:sp>
    <xdr:clientData/>
  </xdr:twoCellAnchor>
  <xdr:twoCellAnchor>
    <xdr:from>
      <xdr:col>26</xdr:col>
      <xdr:colOff>552450</xdr:colOff>
      <xdr:row>13</xdr:row>
      <xdr:rowOff>295275</xdr:rowOff>
    </xdr:from>
    <xdr:to>
      <xdr:col>29</xdr:col>
      <xdr:colOff>342900</xdr:colOff>
      <xdr:row>14</xdr:row>
      <xdr:rowOff>387985</xdr:rowOff>
    </xdr:to>
    <xdr:sp macro="" textlink="">
      <xdr:nvSpPr>
        <xdr:cNvPr id="13" name="流程图: 决策 12">
          <a:extLst>
            <a:ext uri="{FF2B5EF4-FFF2-40B4-BE49-F238E27FC236}">
              <a16:creationId xmlns:a16="http://schemas.microsoft.com/office/drawing/2014/main" id="{00000000-0008-0000-0000-00000D000000}"/>
            </a:ext>
          </a:extLst>
        </xdr:cNvPr>
        <xdr:cNvSpPr/>
      </xdr:nvSpPr>
      <xdr:spPr>
        <a:xfrm>
          <a:off x="13801725" y="8792210"/>
          <a:ext cx="1847850" cy="765810"/>
        </a:xfrm>
        <a:prstGeom prst="flowChartDecision">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t>频度判定</a:t>
          </a:r>
        </a:p>
      </xdr:txBody>
    </xdr:sp>
    <xdr:clientData/>
  </xdr:twoCellAnchor>
  <xdr:twoCellAnchor>
    <xdr:from>
      <xdr:col>27</xdr:col>
      <xdr:colOff>133350</xdr:colOff>
      <xdr:row>15</xdr:row>
      <xdr:rowOff>447675</xdr:rowOff>
    </xdr:from>
    <xdr:to>
      <xdr:col>29</xdr:col>
      <xdr:colOff>86360</xdr:colOff>
      <xdr:row>16</xdr:row>
      <xdr:rowOff>336550</xdr:rowOff>
    </xdr:to>
    <xdr:sp macro="" textlink="">
      <xdr:nvSpPr>
        <xdr:cNvPr id="14" name="矩形 14">
          <a:extLst>
            <a:ext uri="{FF2B5EF4-FFF2-40B4-BE49-F238E27FC236}">
              <a16:creationId xmlns:a16="http://schemas.microsoft.com/office/drawing/2014/main" id="{00000000-0008-0000-0000-00000E000000}"/>
            </a:ext>
          </a:extLst>
        </xdr:cNvPr>
        <xdr:cNvSpPr/>
      </xdr:nvSpPr>
      <xdr:spPr>
        <a:xfrm>
          <a:off x="14068425" y="10290810"/>
          <a:ext cx="1324610" cy="561975"/>
        </a:xfrm>
        <a:prstGeom prst="rect">
          <a:avLst/>
        </a:prstGeom>
        <a:ln>
          <a:headEnd type="none" w="med" len="med"/>
          <a:tailEnd type="none" w="med" len="med"/>
        </a:ln>
      </xdr:spPr>
      <xdr:style>
        <a:lnRef idx="3">
          <a:schemeClr val="lt1"/>
        </a:lnRef>
        <a:fillRef idx="1">
          <a:schemeClr val="accent4"/>
        </a:fillRef>
        <a:effectRef idx="1">
          <a:schemeClr val="accent4"/>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t>现行过程控制描述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4</xdr:row>
      <xdr:rowOff>9525</xdr:rowOff>
    </xdr:from>
    <xdr:to>
      <xdr:col>21</xdr:col>
      <xdr:colOff>304800</xdr:colOff>
      <xdr:row>4</xdr:row>
      <xdr:rowOff>19050</xdr:rowOff>
    </xdr:to>
    <xdr:sp macro="" textlink="">
      <xdr:nvSpPr>
        <xdr:cNvPr id="248498" name="Line 1">
          <a:extLst>
            <a:ext uri="{FF2B5EF4-FFF2-40B4-BE49-F238E27FC236}">
              <a16:creationId xmlns:a16="http://schemas.microsoft.com/office/drawing/2014/main" id="{00000000-0008-0000-0100-0000B2CA0300}"/>
            </a:ext>
          </a:extLst>
        </xdr:cNvPr>
        <xdr:cNvSpPr/>
      </xdr:nvSpPr>
      <xdr:spPr>
        <a:xfrm flipV="1">
          <a:off x="495300" y="1346835"/>
          <a:ext cx="9831705" cy="9525"/>
        </a:xfrm>
        <a:prstGeom prst="line">
          <a:avLst/>
        </a:prstGeom>
        <a:ln w="12700" cap="flat" cmpd="sng">
          <a:solidFill>
            <a:srgbClr val="000000"/>
          </a:solidFill>
          <a:prstDash val="solid"/>
          <a:round/>
          <a:headEnd type="none" w="med" len="med"/>
          <a:tailEnd type="none" w="med" len="med"/>
        </a:ln>
      </xdr:spPr>
    </xdr:sp>
    <xdr:clientData/>
  </xdr:twoCellAnchor>
  <xdr:twoCellAnchor>
    <xdr:from>
      <xdr:col>21</xdr:col>
      <xdr:colOff>67310</xdr:colOff>
      <xdr:row>60</xdr:row>
      <xdr:rowOff>335915</xdr:rowOff>
    </xdr:from>
    <xdr:to>
      <xdr:col>21</xdr:col>
      <xdr:colOff>349250</xdr:colOff>
      <xdr:row>60</xdr:row>
      <xdr:rowOff>1198880</xdr:rowOff>
    </xdr:to>
    <xdr:sp macro="" textlink="">
      <xdr:nvSpPr>
        <xdr:cNvPr id="2" name="文本框 11">
          <a:extLst>
            <a:ext uri="{FF2B5EF4-FFF2-40B4-BE49-F238E27FC236}">
              <a16:creationId xmlns:a16="http://schemas.microsoft.com/office/drawing/2014/main" id="{00000000-0008-0000-0100-000002000000}"/>
            </a:ext>
          </a:extLst>
        </xdr:cNvPr>
        <xdr:cNvSpPr txBox="1"/>
      </xdr:nvSpPr>
      <xdr:spPr>
        <a:xfrm>
          <a:off x="10089515" y="41818560"/>
          <a:ext cx="281940" cy="59118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165100</xdr:colOff>
      <xdr:row>36</xdr:row>
      <xdr:rowOff>266065</xdr:rowOff>
    </xdr:from>
    <xdr:to>
      <xdr:col>21</xdr:col>
      <xdr:colOff>432435</xdr:colOff>
      <xdr:row>37</xdr:row>
      <xdr:rowOff>569595</xdr:rowOff>
    </xdr:to>
    <xdr:sp macro="" textlink="">
      <xdr:nvSpPr>
        <xdr:cNvPr id="3" name="文本框 13">
          <a:extLst>
            <a:ext uri="{FF2B5EF4-FFF2-40B4-BE49-F238E27FC236}">
              <a16:creationId xmlns:a16="http://schemas.microsoft.com/office/drawing/2014/main" id="{00000000-0008-0000-0100-000003000000}"/>
            </a:ext>
          </a:extLst>
        </xdr:cNvPr>
        <xdr:cNvSpPr txBox="1"/>
      </xdr:nvSpPr>
      <xdr:spPr>
        <a:xfrm>
          <a:off x="10187305" y="24718010"/>
          <a:ext cx="267335" cy="112903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133985</xdr:colOff>
      <xdr:row>42</xdr:row>
      <xdr:rowOff>412115</xdr:rowOff>
    </xdr:from>
    <xdr:to>
      <xdr:col>21</xdr:col>
      <xdr:colOff>415925</xdr:colOff>
      <xdr:row>43</xdr:row>
      <xdr:rowOff>771525</xdr:rowOff>
    </xdr:to>
    <xdr:sp macro="" textlink="">
      <xdr:nvSpPr>
        <xdr:cNvPr id="4" name="文本框 11">
          <a:extLst>
            <a:ext uri="{FF2B5EF4-FFF2-40B4-BE49-F238E27FC236}">
              <a16:creationId xmlns:a16="http://schemas.microsoft.com/office/drawing/2014/main" id="{00000000-0008-0000-0100-000004000000}"/>
            </a:ext>
          </a:extLst>
        </xdr:cNvPr>
        <xdr:cNvSpPr txBox="1"/>
      </xdr:nvSpPr>
      <xdr:spPr>
        <a:xfrm>
          <a:off x="10156190" y="29969460"/>
          <a:ext cx="281940" cy="85471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142240</xdr:colOff>
      <xdr:row>48</xdr:row>
      <xdr:rowOff>424180</xdr:rowOff>
    </xdr:from>
    <xdr:to>
      <xdr:col>21</xdr:col>
      <xdr:colOff>425450</xdr:colOff>
      <xdr:row>50</xdr:row>
      <xdr:rowOff>71755</xdr:rowOff>
    </xdr:to>
    <xdr:sp macro="" textlink="">
      <xdr:nvSpPr>
        <xdr:cNvPr id="5" name="文本框 21">
          <a:extLst>
            <a:ext uri="{FF2B5EF4-FFF2-40B4-BE49-F238E27FC236}">
              <a16:creationId xmlns:a16="http://schemas.microsoft.com/office/drawing/2014/main" id="{00000000-0008-0000-0100-000005000000}"/>
            </a:ext>
          </a:extLst>
        </xdr:cNvPr>
        <xdr:cNvSpPr txBox="1"/>
      </xdr:nvSpPr>
      <xdr:spPr>
        <a:xfrm>
          <a:off x="10164445" y="35099625"/>
          <a:ext cx="283210" cy="10191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156845</xdr:colOff>
      <xdr:row>62</xdr:row>
      <xdr:rowOff>503555</xdr:rowOff>
    </xdr:from>
    <xdr:to>
      <xdr:col>21</xdr:col>
      <xdr:colOff>488315</xdr:colOff>
      <xdr:row>64</xdr:row>
      <xdr:rowOff>532130</xdr:rowOff>
    </xdr:to>
    <xdr:sp macro="" textlink="">
      <xdr:nvSpPr>
        <xdr:cNvPr id="6" name="文本框 18">
          <a:extLst>
            <a:ext uri="{FF2B5EF4-FFF2-40B4-BE49-F238E27FC236}">
              <a16:creationId xmlns:a16="http://schemas.microsoft.com/office/drawing/2014/main" id="{00000000-0008-0000-0100-000006000000}"/>
            </a:ext>
          </a:extLst>
        </xdr:cNvPr>
        <xdr:cNvSpPr txBox="1"/>
      </xdr:nvSpPr>
      <xdr:spPr>
        <a:xfrm>
          <a:off x="10179050" y="43802300"/>
          <a:ext cx="306705" cy="15271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189865</xdr:colOff>
      <xdr:row>66</xdr:row>
      <xdr:rowOff>545465</xdr:rowOff>
    </xdr:from>
    <xdr:to>
      <xdr:col>21</xdr:col>
      <xdr:colOff>521335</xdr:colOff>
      <xdr:row>69</xdr:row>
      <xdr:rowOff>2540</xdr:rowOff>
    </xdr:to>
    <xdr:sp macro="" textlink="">
      <xdr:nvSpPr>
        <xdr:cNvPr id="7" name="文本框 19">
          <a:extLst>
            <a:ext uri="{FF2B5EF4-FFF2-40B4-BE49-F238E27FC236}">
              <a16:creationId xmlns:a16="http://schemas.microsoft.com/office/drawing/2014/main" id="{00000000-0008-0000-0100-000007000000}"/>
            </a:ext>
          </a:extLst>
        </xdr:cNvPr>
        <xdr:cNvSpPr txBox="1"/>
      </xdr:nvSpPr>
      <xdr:spPr>
        <a:xfrm>
          <a:off x="10212070" y="46841410"/>
          <a:ext cx="273685" cy="17811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156845</xdr:colOff>
      <xdr:row>71</xdr:row>
      <xdr:rowOff>589280</xdr:rowOff>
    </xdr:from>
    <xdr:to>
      <xdr:col>21</xdr:col>
      <xdr:colOff>424180</xdr:colOff>
      <xdr:row>73</xdr:row>
      <xdr:rowOff>118110</xdr:rowOff>
    </xdr:to>
    <xdr:sp macro="" textlink="">
      <xdr:nvSpPr>
        <xdr:cNvPr id="8" name="文本框 13">
          <a:extLst>
            <a:ext uri="{FF2B5EF4-FFF2-40B4-BE49-F238E27FC236}">
              <a16:creationId xmlns:a16="http://schemas.microsoft.com/office/drawing/2014/main" id="{00000000-0008-0000-0100-000008000000}"/>
            </a:ext>
          </a:extLst>
        </xdr:cNvPr>
        <xdr:cNvSpPr txBox="1"/>
      </xdr:nvSpPr>
      <xdr:spPr>
        <a:xfrm>
          <a:off x="10179050" y="50885725"/>
          <a:ext cx="267335" cy="107823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twoCellAnchor>
    <xdr:from>
      <xdr:col>21</xdr:col>
      <xdr:colOff>180340</xdr:colOff>
      <xdr:row>87</xdr:row>
      <xdr:rowOff>519430</xdr:rowOff>
    </xdr:from>
    <xdr:to>
      <xdr:col>21</xdr:col>
      <xdr:colOff>511810</xdr:colOff>
      <xdr:row>89</xdr:row>
      <xdr:rowOff>167005</xdr:rowOff>
    </xdr:to>
    <xdr:sp macro="" textlink="">
      <xdr:nvSpPr>
        <xdr:cNvPr id="9" name="文本框 21">
          <a:extLst>
            <a:ext uri="{FF2B5EF4-FFF2-40B4-BE49-F238E27FC236}">
              <a16:creationId xmlns:a16="http://schemas.microsoft.com/office/drawing/2014/main" id="{00000000-0008-0000-0100-000009000000}"/>
            </a:ext>
          </a:extLst>
        </xdr:cNvPr>
        <xdr:cNvSpPr txBox="1"/>
      </xdr:nvSpPr>
      <xdr:spPr>
        <a:xfrm>
          <a:off x="10202545" y="63731775"/>
          <a:ext cx="283210" cy="1298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特殊</a:t>
          </a:r>
        </a:p>
        <a:p>
          <a:pPr algn="l"/>
          <a:r>
            <a:rPr lang="zh-CN" altLang="en-US" sz="1100"/>
            <a:t>工</a:t>
          </a:r>
        </a:p>
        <a:p>
          <a:pPr algn="l"/>
          <a:r>
            <a:rPr lang="zh-CN" altLang="en-US" sz="1100"/>
            <a:t>序</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635</xdr:rowOff>
    </xdr:from>
    <xdr:to>
      <xdr:col>13</xdr:col>
      <xdr:colOff>167640</xdr:colOff>
      <xdr:row>29</xdr:row>
      <xdr:rowOff>176530</xdr:rowOff>
    </xdr:to>
    <xdr:pic>
      <xdr:nvPicPr>
        <xdr:cNvPr id="214729" name="Picture 2">
          <a:extLst>
            <a:ext uri="{FF2B5EF4-FFF2-40B4-BE49-F238E27FC236}">
              <a16:creationId xmlns:a16="http://schemas.microsoft.com/office/drawing/2014/main" id="{00000000-0008-0000-0200-0000C9460300}"/>
            </a:ext>
          </a:extLst>
        </xdr:cNvPr>
        <xdr:cNvPicPr>
          <a:picLocks noGrp="1" noChangeAspect="1"/>
        </xdr:cNvPicPr>
      </xdr:nvPicPr>
      <xdr:blipFill>
        <a:blip xmlns:r="http://schemas.openxmlformats.org/officeDocument/2006/relationships" r:embed="rId1"/>
        <a:stretch>
          <a:fillRect/>
        </a:stretch>
      </xdr:blipFill>
      <xdr:spPr>
        <a:xfrm>
          <a:off x="19050" y="635"/>
          <a:ext cx="9063990" cy="5424170"/>
        </a:xfrm>
        <a:prstGeom prst="rect">
          <a:avLst/>
        </a:prstGeom>
        <a:noFill/>
        <a:ln w="9525">
          <a:noFill/>
        </a:ln>
      </xdr:spPr>
    </xdr:pic>
    <xdr:clientData/>
  </xdr:twoCellAnchor>
  <xdr:twoCellAnchor>
    <xdr:from>
      <xdr:col>13</xdr:col>
      <xdr:colOff>238125</xdr:colOff>
      <xdr:row>4</xdr:row>
      <xdr:rowOff>28575</xdr:rowOff>
    </xdr:from>
    <xdr:to>
      <xdr:col>17</xdr:col>
      <xdr:colOff>104140</xdr:colOff>
      <xdr:row>6</xdr:row>
      <xdr:rowOff>171450</xdr:rowOff>
    </xdr:to>
    <xdr:sp macro="" textlink="">
      <xdr:nvSpPr>
        <xdr:cNvPr id="2" name="左箭头 2">
          <a:extLst>
            <a:ext uri="{FF2B5EF4-FFF2-40B4-BE49-F238E27FC236}">
              <a16:creationId xmlns:a16="http://schemas.microsoft.com/office/drawing/2014/main" id="{00000000-0008-0000-0200-000002000000}"/>
            </a:ext>
          </a:extLst>
        </xdr:cNvPr>
        <xdr:cNvSpPr/>
      </xdr:nvSpPr>
      <xdr:spPr>
        <a:xfrm>
          <a:off x="9153525" y="752475"/>
          <a:ext cx="2609215" cy="50482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p>
          <a:r>
            <a:rPr lang="zh-CN" altLang="en-US"/>
            <a:t>影响人身</a:t>
          </a:r>
          <a:r>
            <a:rPr lang="zh-CN" altLang="en-US">
              <a:solidFill>
                <a:srgbClr val="FF0000"/>
              </a:solidFill>
            </a:rPr>
            <a:t>安全</a:t>
          </a:r>
          <a:r>
            <a:rPr lang="zh-CN" altLang="en-US"/>
            <a:t>，且风险发生时</a:t>
          </a:r>
          <a:r>
            <a:rPr lang="zh-CN" altLang="en-US">
              <a:solidFill>
                <a:srgbClr val="FF0000"/>
              </a:solidFill>
            </a:rPr>
            <a:t>无</a:t>
          </a:r>
          <a:r>
            <a:rPr lang="zh-CN" altLang="en-US"/>
            <a:t>提醒</a:t>
          </a:r>
        </a:p>
      </xdr:txBody>
    </xdr:sp>
    <xdr:clientData/>
  </xdr:twoCellAnchor>
  <xdr:twoCellAnchor>
    <xdr:from>
      <xdr:col>13</xdr:col>
      <xdr:colOff>266700</xdr:colOff>
      <xdr:row>7</xdr:row>
      <xdr:rowOff>133350</xdr:rowOff>
    </xdr:from>
    <xdr:to>
      <xdr:col>17</xdr:col>
      <xdr:colOff>228600</xdr:colOff>
      <xdr:row>10</xdr:row>
      <xdr:rowOff>95250</xdr:rowOff>
    </xdr:to>
    <xdr:sp macro="" textlink="">
      <xdr:nvSpPr>
        <xdr:cNvPr id="3" name="左箭头 3">
          <a:extLst>
            <a:ext uri="{FF2B5EF4-FFF2-40B4-BE49-F238E27FC236}">
              <a16:creationId xmlns:a16="http://schemas.microsoft.com/office/drawing/2014/main" id="{00000000-0008-0000-0200-000003000000}"/>
            </a:ext>
          </a:extLst>
        </xdr:cNvPr>
        <xdr:cNvSpPr/>
      </xdr:nvSpPr>
      <xdr:spPr>
        <a:xfrm>
          <a:off x="9182100" y="1400175"/>
          <a:ext cx="2705100" cy="50482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影响人身</a:t>
          </a:r>
          <a:r>
            <a:rPr lang="zh-CN" altLang="en-US">
              <a:solidFill>
                <a:srgbClr val="FF0000"/>
              </a:solidFill>
            </a:rPr>
            <a:t>安全</a:t>
          </a:r>
          <a:r>
            <a:rPr lang="zh-CN" altLang="en-US"/>
            <a:t>，风险发生时</a:t>
          </a:r>
          <a:r>
            <a:rPr lang="zh-CN" altLang="en-US">
              <a:solidFill>
                <a:srgbClr val="FF0000"/>
              </a:solidFill>
            </a:rPr>
            <a:t>有</a:t>
          </a:r>
          <a:r>
            <a:rPr lang="zh-CN" altLang="en-US"/>
            <a:t>提醒</a:t>
          </a:r>
        </a:p>
      </xdr:txBody>
    </xdr:sp>
    <xdr:clientData/>
  </xdr:twoCellAnchor>
  <xdr:twoCellAnchor>
    <xdr:from>
      <xdr:col>13</xdr:col>
      <xdr:colOff>295275</xdr:colOff>
      <xdr:row>10</xdr:row>
      <xdr:rowOff>133350</xdr:rowOff>
    </xdr:from>
    <xdr:to>
      <xdr:col>18</xdr:col>
      <xdr:colOff>313690</xdr:colOff>
      <xdr:row>12</xdr:row>
      <xdr:rowOff>171450</xdr:rowOff>
    </xdr:to>
    <xdr:sp macro="" textlink="">
      <xdr:nvSpPr>
        <xdr:cNvPr id="4" name="左箭头 4">
          <a:extLst>
            <a:ext uri="{FF2B5EF4-FFF2-40B4-BE49-F238E27FC236}">
              <a16:creationId xmlns:a16="http://schemas.microsoft.com/office/drawing/2014/main" id="{00000000-0008-0000-0200-000004000000}"/>
            </a:ext>
          </a:extLst>
        </xdr:cNvPr>
        <xdr:cNvSpPr/>
      </xdr:nvSpPr>
      <xdr:spPr>
        <a:xfrm>
          <a:off x="9210675" y="1943100"/>
          <a:ext cx="3447415" cy="4000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会直接造成血压计无法测血压的问题，如泵不上气</a:t>
          </a:r>
        </a:p>
      </xdr:txBody>
    </xdr:sp>
    <xdr:clientData/>
  </xdr:twoCellAnchor>
  <xdr:twoCellAnchor>
    <xdr:from>
      <xdr:col>13</xdr:col>
      <xdr:colOff>304800</xdr:colOff>
      <xdr:row>12</xdr:row>
      <xdr:rowOff>161925</xdr:rowOff>
    </xdr:from>
    <xdr:to>
      <xdr:col>18</xdr:col>
      <xdr:colOff>351790</xdr:colOff>
      <xdr:row>15</xdr:row>
      <xdr:rowOff>19050</xdr:rowOff>
    </xdr:to>
    <xdr:sp macro="" textlink="">
      <xdr:nvSpPr>
        <xdr:cNvPr id="5" name="左箭头 5">
          <a:extLst>
            <a:ext uri="{FF2B5EF4-FFF2-40B4-BE49-F238E27FC236}">
              <a16:creationId xmlns:a16="http://schemas.microsoft.com/office/drawing/2014/main" id="{00000000-0008-0000-0200-000005000000}"/>
            </a:ext>
          </a:extLst>
        </xdr:cNvPr>
        <xdr:cNvSpPr/>
      </xdr:nvSpPr>
      <xdr:spPr>
        <a:xfrm>
          <a:off x="9220200" y="2333625"/>
          <a:ext cx="3475990" cy="4000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会</a:t>
          </a:r>
          <a:r>
            <a:rPr lang="zh-CN" altLang="en-US">
              <a:sym typeface="+mn-ea"/>
            </a:rPr>
            <a:t>造成血压计测血压失准的问题</a:t>
          </a:r>
          <a:r>
            <a:rPr lang="zh-CN" altLang="en-US"/>
            <a:t>，如传感器不良</a:t>
          </a:r>
        </a:p>
      </xdr:txBody>
    </xdr:sp>
    <xdr:clientData/>
  </xdr:twoCellAnchor>
  <xdr:twoCellAnchor>
    <xdr:from>
      <xdr:col>13</xdr:col>
      <xdr:colOff>314325</xdr:colOff>
      <xdr:row>15</xdr:row>
      <xdr:rowOff>66675</xdr:rowOff>
    </xdr:from>
    <xdr:to>
      <xdr:col>18</xdr:col>
      <xdr:colOff>104140</xdr:colOff>
      <xdr:row>17</xdr:row>
      <xdr:rowOff>104775</xdr:rowOff>
    </xdr:to>
    <xdr:sp macro="" textlink="">
      <xdr:nvSpPr>
        <xdr:cNvPr id="6" name="左箭头 6">
          <a:extLst>
            <a:ext uri="{FF2B5EF4-FFF2-40B4-BE49-F238E27FC236}">
              <a16:creationId xmlns:a16="http://schemas.microsoft.com/office/drawing/2014/main" id="{00000000-0008-0000-0200-000006000000}"/>
            </a:ext>
          </a:extLst>
        </xdr:cNvPr>
        <xdr:cNvSpPr/>
      </xdr:nvSpPr>
      <xdr:spPr>
        <a:xfrm>
          <a:off x="9229725" y="2781300"/>
          <a:ext cx="3218815" cy="4000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除血压计测血压功能缺失的其他功能</a:t>
          </a:r>
          <a:r>
            <a:rPr lang="zh-CN" altLang="en-US">
              <a:solidFill>
                <a:srgbClr val="FF0000"/>
              </a:solidFill>
            </a:rPr>
            <a:t>缺失</a:t>
          </a:r>
        </a:p>
      </xdr:txBody>
    </xdr:sp>
    <xdr:clientData/>
  </xdr:twoCellAnchor>
  <xdr:twoCellAnchor>
    <xdr:from>
      <xdr:col>13</xdr:col>
      <xdr:colOff>333375</xdr:colOff>
      <xdr:row>17</xdr:row>
      <xdr:rowOff>161925</xdr:rowOff>
    </xdr:from>
    <xdr:to>
      <xdr:col>18</xdr:col>
      <xdr:colOff>123190</xdr:colOff>
      <xdr:row>20</xdr:row>
      <xdr:rowOff>19050</xdr:rowOff>
    </xdr:to>
    <xdr:sp macro="" textlink="">
      <xdr:nvSpPr>
        <xdr:cNvPr id="7" name="左箭头 7">
          <a:extLst>
            <a:ext uri="{FF2B5EF4-FFF2-40B4-BE49-F238E27FC236}">
              <a16:creationId xmlns:a16="http://schemas.microsoft.com/office/drawing/2014/main" id="{00000000-0008-0000-0200-000007000000}"/>
            </a:ext>
          </a:extLst>
        </xdr:cNvPr>
        <xdr:cNvSpPr/>
      </xdr:nvSpPr>
      <xdr:spPr>
        <a:xfrm>
          <a:off x="9248775" y="3238500"/>
          <a:ext cx="3218815" cy="4000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除血压计测血压功能缺失的其他功能</a:t>
          </a:r>
          <a:r>
            <a:rPr lang="zh-CN" altLang="en-US">
              <a:solidFill>
                <a:srgbClr val="FF0000"/>
              </a:solidFill>
            </a:rPr>
            <a:t>超标</a:t>
          </a:r>
        </a:p>
      </xdr:txBody>
    </xdr:sp>
    <xdr:clientData/>
  </xdr:twoCellAnchor>
  <xdr:twoCellAnchor>
    <xdr:from>
      <xdr:col>0</xdr:col>
      <xdr:colOff>133350</xdr:colOff>
      <xdr:row>8</xdr:row>
      <xdr:rowOff>123825</xdr:rowOff>
    </xdr:from>
    <xdr:to>
      <xdr:col>2</xdr:col>
      <xdr:colOff>389890</xdr:colOff>
      <xdr:row>11</xdr:row>
      <xdr:rowOff>114300</xdr:rowOff>
    </xdr:to>
    <xdr:sp macro="" textlink="">
      <xdr:nvSpPr>
        <xdr:cNvPr id="8" name="下箭头 8">
          <a:extLst>
            <a:ext uri="{FF2B5EF4-FFF2-40B4-BE49-F238E27FC236}">
              <a16:creationId xmlns:a16="http://schemas.microsoft.com/office/drawing/2014/main" id="{00000000-0008-0000-0200-000008000000}"/>
            </a:ext>
          </a:extLst>
        </xdr:cNvPr>
        <xdr:cNvSpPr/>
      </xdr:nvSpPr>
      <xdr:spPr>
        <a:xfrm>
          <a:off x="133350" y="1571625"/>
          <a:ext cx="1628140" cy="533400"/>
        </a:xfrm>
        <a:prstGeom prst="down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p>
          <a:pPr algn="ctr"/>
          <a:r>
            <a:rPr lang="zh-CN" altLang="en-US" sz="900">
              <a:solidFill>
                <a:srgbClr val="FF0000"/>
              </a:solidFill>
            </a:rPr>
            <a:t>血压计基本功能为测血压</a:t>
          </a:r>
        </a:p>
      </xdr:txBody>
    </xdr:sp>
    <xdr:clientData/>
  </xdr:twoCellAnchor>
  <xdr:twoCellAnchor>
    <xdr:from>
      <xdr:col>0</xdr:col>
      <xdr:colOff>635</xdr:colOff>
      <xdr:row>13</xdr:row>
      <xdr:rowOff>123825</xdr:rowOff>
    </xdr:from>
    <xdr:to>
      <xdr:col>2</xdr:col>
      <xdr:colOff>257175</xdr:colOff>
      <xdr:row>16</xdr:row>
      <xdr:rowOff>114300</xdr:rowOff>
    </xdr:to>
    <xdr:sp macro="" textlink="">
      <xdr:nvSpPr>
        <xdr:cNvPr id="9" name="下箭头 9">
          <a:extLst>
            <a:ext uri="{FF2B5EF4-FFF2-40B4-BE49-F238E27FC236}">
              <a16:creationId xmlns:a16="http://schemas.microsoft.com/office/drawing/2014/main" id="{00000000-0008-0000-0200-000009000000}"/>
            </a:ext>
          </a:extLst>
        </xdr:cNvPr>
        <xdr:cNvSpPr/>
      </xdr:nvSpPr>
      <xdr:spPr>
        <a:xfrm>
          <a:off x="635" y="2476500"/>
          <a:ext cx="1628140" cy="533400"/>
        </a:xfrm>
        <a:prstGeom prst="down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zh-CN" altLang="en-US" sz="900">
              <a:solidFill>
                <a:srgbClr val="FF0000"/>
              </a:solidFill>
            </a:rPr>
            <a:t>如：心率、蓝牙功能</a:t>
          </a:r>
        </a:p>
      </xdr:txBody>
    </xdr:sp>
    <xdr:clientData/>
  </xdr:twoCellAnchor>
  <xdr:twoCellAnchor>
    <xdr:from>
      <xdr:col>13</xdr:col>
      <xdr:colOff>342900</xdr:colOff>
      <xdr:row>21</xdr:row>
      <xdr:rowOff>38100</xdr:rowOff>
    </xdr:from>
    <xdr:to>
      <xdr:col>18</xdr:col>
      <xdr:colOff>552450</xdr:colOff>
      <xdr:row>25</xdr:row>
      <xdr:rowOff>57150</xdr:rowOff>
    </xdr:to>
    <xdr:sp macro="" textlink="">
      <xdr:nvSpPr>
        <xdr:cNvPr id="10" name="左箭头 10">
          <a:extLst>
            <a:ext uri="{FF2B5EF4-FFF2-40B4-BE49-F238E27FC236}">
              <a16:creationId xmlns:a16="http://schemas.microsoft.com/office/drawing/2014/main" id="{00000000-0008-0000-0200-00000A000000}"/>
            </a:ext>
          </a:extLst>
        </xdr:cNvPr>
        <xdr:cNvSpPr/>
      </xdr:nvSpPr>
      <xdr:spPr>
        <a:xfrm>
          <a:off x="9258300" y="3838575"/>
          <a:ext cx="3638550" cy="742950"/>
        </a:xfrm>
        <a:prstGeom prst="leftArrow">
          <a:avLst>
            <a:gd name="adj1" fmla="val 50000"/>
            <a:gd name="adj2" fmla="val 52380"/>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solidFill>
                <a:sysClr val="windowText" lastClr="000000"/>
              </a:solidFill>
            </a:rPr>
            <a:t>产品外观问题；分值按照明显程度划分；越明显越高</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0</xdr:row>
      <xdr:rowOff>8890</xdr:rowOff>
    </xdr:from>
    <xdr:to>
      <xdr:col>11</xdr:col>
      <xdr:colOff>577850</xdr:colOff>
      <xdr:row>28</xdr:row>
      <xdr:rowOff>1905</xdr:rowOff>
    </xdr:to>
    <xdr:pic>
      <xdr:nvPicPr>
        <xdr:cNvPr id="181525" name="图片 1">
          <a:extLst>
            <a:ext uri="{FF2B5EF4-FFF2-40B4-BE49-F238E27FC236}">
              <a16:creationId xmlns:a16="http://schemas.microsoft.com/office/drawing/2014/main" id="{00000000-0008-0000-0300-000015C50200}"/>
            </a:ext>
          </a:extLst>
        </xdr:cNvPr>
        <xdr:cNvPicPr>
          <a:picLocks noGrp="1" noChangeAspect="1"/>
        </xdr:cNvPicPr>
      </xdr:nvPicPr>
      <xdr:blipFill>
        <a:blip xmlns:r="http://schemas.openxmlformats.org/officeDocument/2006/relationships" r:embed="rId1"/>
        <a:stretch>
          <a:fillRect/>
        </a:stretch>
      </xdr:blipFill>
      <xdr:spPr>
        <a:xfrm>
          <a:off x="9525" y="8890"/>
          <a:ext cx="8112125" cy="506031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8890</xdr:rowOff>
    </xdr:from>
    <xdr:to>
      <xdr:col>10</xdr:col>
      <xdr:colOff>476250</xdr:colOff>
      <xdr:row>33</xdr:row>
      <xdr:rowOff>48260</xdr:rowOff>
    </xdr:to>
    <xdr:pic>
      <xdr:nvPicPr>
        <xdr:cNvPr id="242929" name="图片 1">
          <a:extLst>
            <a:ext uri="{FF2B5EF4-FFF2-40B4-BE49-F238E27FC236}">
              <a16:creationId xmlns:a16="http://schemas.microsoft.com/office/drawing/2014/main" id="{00000000-0008-0000-0400-0000F1B40300}"/>
            </a:ext>
          </a:extLst>
        </xdr:cNvPr>
        <xdr:cNvPicPr>
          <a:picLocks noChangeAspect="1"/>
        </xdr:cNvPicPr>
      </xdr:nvPicPr>
      <xdr:blipFill>
        <a:blip xmlns:r="http://schemas.openxmlformats.org/officeDocument/2006/relationships" r:embed="rId1"/>
        <a:stretch>
          <a:fillRect/>
        </a:stretch>
      </xdr:blipFill>
      <xdr:spPr>
        <a:xfrm>
          <a:off x="9525" y="8890"/>
          <a:ext cx="7324725" cy="6011545"/>
        </a:xfrm>
        <a:prstGeom prst="rect">
          <a:avLst/>
        </a:prstGeom>
        <a:noFill/>
        <a:ln w="9525">
          <a:noFill/>
        </a:ln>
      </xdr:spPr>
    </xdr:pic>
    <xdr:clientData/>
  </xdr:twoCellAnchor>
  <xdr:twoCellAnchor editAs="oneCell">
    <xdr:from>
      <xdr:col>18</xdr:col>
      <xdr:colOff>103505</xdr:colOff>
      <xdr:row>0</xdr:row>
      <xdr:rowOff>0</xdr:rowOff>
    </xdr:from>
    <xdr:to>
      <xdr:col>29</xdr:col>
      <xdr:colOff>20955</xdr:colOff>
      <xdr:row>55</xdr:row>
      <xdr:rowOff>104775</xdr:rowOff>
    </xdr:to>
    <xdr:pic>
      <xdr:nvPicPr>
        <xdr:cNvPr id="242930" name="图片 2" descr="566940568349253722">
          <a:extLst>
            <a:ext uri="{FF2B5EF4-FFF2-40B4-BE49-F238E27FC236}">
              <a16:creationId xmlns:a16="http://schemas.microsoft.com/office/drawing/2014/main" id="{00000000-0008-0000-0400-0000F2B40300}"/>
            </a:ext>
          </a:extLst>
        </xdr:cNvPr>
        <xdr:cNvPicPr>
          <a:picLocks noChangeAspect="1"/>
        </xdr:cNvPicPr>
      </xdr:nvPicPr>
      <xdr:blipFill>
        <a:blip xmlns:r="http://schemas.openxmlformats.org/officeDocument/2006/relationships" r:embed="rId2"/>
        <a:stretch>
          <a:fillRect/>
        </a:stretch>
      </xdr:blipFill>
      <xdr:spPr>
        <a:xfrm rot="-5400000">
          <a:off x="11149330" y="1298575"/>
          <a:ext cx="10058400" cy="7461250"/>
        </a:xfrm>
        <a:prstGeom prst="rect">
          <a:avLst/>
        </a:prstGeom>
        <a:noFill/>
        <a:ln w="9525">
          <a:noFill/>
        </a:ln>
      </xdr:spPr>
    </xdr:pic>
    <xdr:clientData/>
  </xdr:twoCellAnchor>
  <xdr:twoCellAnchor>
    <xdr:from>
      <xdr:col>10</xdr:col>
      <xdr:colOff>513715</xdr:colOff>
      <xdr:row>5</xdr:row>
      <xdr:rowOff>142875</xdr:rowOff>
    </xdr:from>
    <xdr:to>
      <xdr:col>12</xdr:col>
      <xdr:colOff>502920</xdr:colOff>
      <xdr:row>7</xdr:row>
      <xdr:rowOff>152400</xdr:rowOff>
    </xdr:to>
    <xdr:sp macro="" textlink="">
      <xdr:nvSpPr>
        <xdr:cNvPr id="2" name="左箭头 3">
          <a:extLst>
            <a:ext uri="{FF2B5EF4-FFF2-40B4-BE49-F238E27FC236}">
              <a16:creationId xmlns:a16="http://schemas.microsoft.com/office/drawing/2014/main" id="{00000000-0008-0000-0400-000002000000}"/>
            </a:ext>
          </a:extLst>
        </xdr:cNvPr>
        <xdr:cNvSpPr/>
      </xdr:nvSpPr>
      <xdr:spPr>
        <a:xfrm>
          <a:off x="7371715" y="1047750"/>
          <a:ext cx="1360805" cy="37147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p>
          <a:r>
            <a:rPr lang="zh-CN" altLang="en-US"/>
            <a:t>完全无法检验出</a:t>
          </a:r>
        </a:p>
      </xdr:txBody>
    </xdr:sp>
    <xdr:clientData/>
  </xdr:twoCellAnchor>
  <xdr:twoCellAnchor>
    <xdr:from>
      <xdr:col>10</xdr:col>
      <xdr:colOff>491490</xdr:colOff>
      <xdr:row>7</xdr:row>
      <xdr:rowOff>154305</xdr:rowOff>
    </xdr:from>
    <xdr:to>
      <xdr:col>12</xdr:col>
      <xdr:colOff>480695</xdr:colOff>
      <xdr:row>9</xdr:row>
      <xdr:rowOff>163830</xdr:rowOff>
    </xdr:to>
    <xdr:sp macro="" textlink="">
      <xdr:nvSpPr>
        <xdr:cNvPr id="3" name="左箭头 4">
          <a:extLst>
            <a:ext uri="{FF2B5EF4-FFF2-40B4-BE49-F238E27FC236}">
              <a16:creationId xmlns:a16="http://schemas.microsoft.com/office/drawing/2014/main" id="{00000000-0008-0000-0400-000003000000}"/>
            </a:ext>
          </a:extLst>
        </xdr:cNvPr>
        <xdr:cNvSpPr/>
      </xdr:nvSpPr>
      <xdr:spPr>
        <a:xfrm>
          <a:off x="7349490" y="1421130"/>
          <a:ext cx="1360805" cy="37147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很难检验出</a:t>
          </a:r>
        </a:p>
      </xdr:txBody>
    </xdr:sp>
    <xdr:clientData/>
  </xdr:twoCellAnchor>
  <xdr:twoCellAnchor>
    <xdr:from>
      <xdr:col>10</xdr:col>
      <xdr:colOff>502285</xdr:colOff>
      <xdr:row>9</xdr:row>
      <xdr:rowOff>140970</xdr:rowOff>
    </xdr:from>
    <xdr:to>
      <xdr:col>12</xdr:col>
      <xdr:colOff>491490</xdr:colOff>
      <xdr:row>11</xdr:row>
      <xdr:rowOff>150495</xdr:rowOff>
    </xdr:to>
    <xdr:sp macro="" textlink="">
      <xdr:nvSpPr>
        <xdr:cNvPr id="4" name="左箭头 5">
          <a:extLst>
            <a:ext uri="{FF2B5EF4-FFF2-40B4-BE49-F238E27FC236}">
              <a16:creationId xmlns:a16="http://schemas.microsoft.com/office/drawing/2014/main" id="{00000000-0008-0000-0400-000004000000}"/>
            </a:ext>
          </a:extLst>
        </xdr:cNvPr>
        <xdr:cNvSpPr/>
      </xdr:nvSpPr>
      <xdr:spPr>
        <a:xfrm>
          <a:off x="7360285" y="1769745"/>
          <a:ext cx="1360805" cy="37147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仅靠眼看检验出</a:t>
          </a:r>
        </a:p>
      </xdr:txBody>
    </xdr:sp>
    <xdr:clientData/>
  </xdr:twoCellAnchor>
  <xdr:twoCellAnchor>
    <xdr:from>
      <xdr:col>10</xdr:col>
      <xdr:colOff>490855</xdr:colOff>
      <xdr:row>12</xdr:row>
      <xdr:rowOff>93980</xdr:rowOff>
    </xdr:from>
    <xdr:to>
      <xdr:col>15</xdr:col>
      <xdr:colOff>254635</xdr:colOff>
      <xdr:row>14</xdr:row>
      <xdr:rowOff>105410</xdr:rowOff>
    </xdr:to>
    <xdr:sp macro="" textlink="">
      <xdr:nvSpPr>
        <xdr:cNvPr id="5" name="左箭头 6">
          <a:extLst>
            <a:ext uri="{FF2B5EF4-FFF2-40B4-BE49-F238E27FC236}">
              <a16:creationId xmlns:a16="http://schemas.microsoft.com/office/drawing/2014/main" id="{00000000-0008-0000-0400-000005000000}"/>
            </a:ext>
          </a:extLst>
        </xdr:cNvPr>
        <xdr:cNvSpPr/>
      </xdr:nvSpPr>
      <xdr:spPr>
        <a:xfrm>
          <a:off x="7348855" y="2265680"/>
          <a:ext cx="3192780" cy="37338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通过量具等设备工具检验出，用眼识别</a:t>
          </a:r>
        </a:p>
      </xdr:txBody>
    </xdr:sp>
    <xdr:clientData/>
  </xdr:twoCellAnchor>
  <xdr:twoCellAnchor>
    <xdr:from>
      <xdr:col>10</xdr:col>
      <xdr:colOff>501650</xdr:colOff>
      <xdr:row>15</xdr:row>
      <xdr:rowOff>3175</xdr:rowOff>
    </xdr:from>
    <xdr:to>
      <xdr:col>14</xdr:col>
      <xdr:colOff>490220</xdr:colOff>
      <xdr:row>17</xdr:row>
      <xdr:rowOff>13970</xdr:rowOff>
    </xdr:to>
    <xdr:sp macro="" textlink="">
      <xdr:nvSpPr>
        <xdr:cNvPr id="6" name="左箭头 7">
          <a:extLst>
            <a:ext uri="{FF2B5EF4-FFF2-40B4-BE49-F238E27FC236}">
              <a16:creationId xmlns:a16="http://schemas.microsoft.com/office/drawing/2014/main" id="{00000000-0008-0000-0400-000006000000}"/>
            </a:ext>
          </a:extLst>
        </xdr:cNvPr>
        <xdr:cNvSpPr/>
      </xdr:nvSpPr>
      <xdr:spPr>
        <a:xfrm>
          <a:off x="7359650" y="2717800"/>
          <a:ext cx="2731770" cy="37274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通过量具等设备工具在后工序检验出</a:t>
          </a:r>
        </a:p>
      </xdr:txBody>
    </xdr:sp>
    <xdr:clientData/>
  </xdr:twoCellAnchor>
  <xdr:twoCellAnchor>
    <xdr:from>
      <xdr:col>10</xdr:col>
      <xdr:colOff>501650</xdr:colOff>
      <xdr:row>17</xdr:row>
      <xdr:rowOff>38100</xdr:rowOff>
    </xdr:from>
    <xdr:to>
      <xdr:col>17</xdr:col>
      <xdr:colOff>377825</xdr:colOff>
      <xdr:row>19</xdr:row>
      <xdr:rowOff>48895</xdr:rowOff>
    </xdr:to>
    <xdr:sp macro="" textlink="">
      <xdr:nvSpPr>
        <xdr:cNvPr id="7" name="左箭头 8">
          <a:extLst>
            <a:ext uri="{FF2B5EF4-FFF2-40B4-BE49-F238E27FC236}">
              <a16:creationId xmlns:a16="http://schemas.microsoft.com/office/drawing/2014/main" id="{00000000-0008-0000-0400-000007000000}"/>
            </a:ext>
          </a:extLst>
        </xdr:cNvPr>
        <xdr:cNvSpPr/>
      </xdr:nvSpPr>
      <xdr:spPr>
        <a:xfrm>
          <a:off x="7359650" y="3114675"/>
          <a:ext cx="4676775" cy="37274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通过量具等设备工具在本工序检验出，且设备工具具有报警通知功能</a:t>
          </a:r>
        </a:p>
      </xdr:txBody>
    </xdr:sp>
    <xdr:clientData/>
  </xdr:twoCellAnchor>
  <xdr:twoCellAnchor>
    <xdr:from>
      <xdr:col>10</xdr:col>
      <xdr:colOff>501650</xdr:colOff>
      <xdr:row>19</xdr:row>
      <xdr:rowOff>150495</xdr:rowOff>
    </xdr:from>
    <xdr:to>
      <xdr:col>17</xdr:col>
      <xdr:colOff>97790</xdr:colOff>
      <xdr:row>21</xdr:row>
      <xdr:rowOff>161290</xdr:rowOff>
    </xdr:to>
    <xdr:sp macro="" textlink="">
      <xdr:nvSpPr>
        <xdr:cNvPr id="8" name="左箭头 10">
          <a:extLst>
            <a:ext uri="{FF2B5EF4-FFF2-40B4-BE49-F238E27FC236}">
              <a16:creationId xmlns:a16="http://schemas.microsoft.com/office/drawing/2014/main" id="{00000000-0008-0000-0400-000008000000}"/>
            </a:ext>
          </a:extLst>
        </xdr:cNvPr>
        <xdr:cNvSpPr/>
      </xdr:nvSpPr>
      <xdr:spPr>
        <a:xfrm>
          <a:off x="7359650" y="3589020"/>
          <a:ext cx="4396740" cy="37274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通过量具等设备工具在后工序检验出，后工序可以对不良进行截留</a:t>
          </a:r>
        </a:p>
      </xdr:txBody>
    </xdr:sp>
    <xdr:clientData/>
  </xdr:twoCellAnchor>
  <xdr:twoCellAnchor>
    <xdr:from>
      <xdr:col>10</xdr:col>
      <xdr:colOff>512445</xdr:colOff>
      <xdr:row>23</xdr:row>
      <xdr:rowOff>49530</xdr:rowOff>
    </xdr:from>
    <xdr:to>
      <xdr:col>17</xdr:col>
      <xdr:colOff>108585</xdr:colOff>
      <xdr:row>25</xdr:row>
      <xdr:rowOff>60325</xdr:rowOff>
    </xdr:to>
    <xdr:sp macro="" textlink="">
      <xdr:nvSpPr>
        <xdr:cNvPr id="9" name="左箭头 11">
          <a:extLst>
            <a:ext uri="{FF2B5EF4-FFF2-40B4-BE49-F238E27FC236}">
              <a16:creationId xmlns:a16="http://schemas.microsoft.com/office/drawing/2014/main" id="{00000000-0008-0000-0400-000009000000}"/>
            </a:ext>
          </a:extLst>
        </xdr:cNvPr>
        <xdr:cNvSpPr/>
      </xdr:nvSpPr>
      <xdr:spPr>
        <a:xfrm>
          <a:off x="7370445" y="4211955"/>
          <a:ext cx="4396740" cy="372745"/>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通过量具等设备工具在本工序检验出，且可以保证不良不流向后序</a:t>
          </a:r>
        </a:p>
      </xdr:txBody>
    </xdr:sp>
    <xdr:clientData/>
  </xdr:twoCellAnchor>
  <xdr:twoCellAnchor>
    <xdr:from>
      <xdr:col>10</xdr:col>
      <xdr:colOff>556895</xdr:colOff>
      <xdr:row>26</xdr:row>
      <xdr:rowOff>158750</xdr:rowOff>
    </xdr:from>
    <xdr:to>
      <xdr:col>17</xdr:col>
      <xdr:colOff>75565</xdr:colOff>
      <xdr:row>28</xdr:row>
      <xdr:rowOff>171450</xdr:rowOff>
    </xdr:to>
    <xdr:sp macro="" textlink="">
      <xdr:nvSpPr>
        <xdr:cNvPr id="10" name="左箭头 12">
          <a:extLst>
            <a:ext uri="{FF2B5EF4-FFF2-40B4-BE49-F238E27FC236}">
              <a16:creationId xmlns:a16="http://schemas.microsoft.com/office/drawing/2014/main" id="{00000000-0008-0000-0400-00000A000000}"/>
            </a:ext>
          </a:extLst>
        </xdr:cNvPr>
        <xdr:cNvSpPr/>
      </xdr:nvSpPr>
      <xdr:spPr>
        <a:xfrm>
          <a:off x="7414895" y="4864100"/>
          <a:ext cx="4319270" cy="3746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通过高精度、自动化设备工具生产，不良率可以控制在极低水平</a:t>
          </a:r>
        </a:p>
      </xdr:txBody>
    </xdr:sp>
    <xdr:clientData/>
  </xdr:twoCellAnchor>
  <xdr:twoCellAnchor>
    <xdr:from>
      <xdr:col>10</xdr:col>
      <xdr:colOff>546100</xdr:colOff>
      <xdr:row>29</xdr:row>
      <xdr:rowOff>158115</xdr:rowOff>
    </xdr:from>
    <xdr:to>
      <xdr:col>15</xdr:col>
      <xdr:colOff>433070</xdr:colOff>
      <xdr:row>31</xdr:row>
      <xdr:rowOff>170815</xdr:rowOff>
    </xdr:to>
    <xdr:sp macro="" textlink="">
      <xdr:nvSpPr>
        <xdr:cNvPr id="11" name="左箭头 13">
          <a:extLst>
            <a:ext uri="{FF2B5EF4-FFF2-40B4-BE49-F238E27FC236}">
              <a16:creationId xmlns:a16="http://schemas.microsoft.com/office/drawing/2014/main" id="{00000000-0008-0000-0400-00000B000000}"/>
            </a:ext>
          </a:extLst>
        </xdr:cNvPr>
        <xdr:cNvSpPr/>
      </xdr:nvSpPr>
      <xdr:spPr>
        <a:xfrm>
          <a:off x="7404100" y="5406390"/>
          <a:ext cx="3315970" cy="374650"/>
        </a:xfrm>
        <a:prstGeom prst="leftArrow">
          <a:avLst/>
        </a:prstGeom>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a:t>通过高精度设备工具保证不良品不会被生产出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466725</xdr:colOff>
      <xdr:row>1</xdr:row>
      <xdr:rowOff>273050</xdr:rowOff>
    </xdr:from>
    <xdr:to>
      <xdr:col>1</xdr:col>
      <xdr:colOff>1714500</xdr:colOff>
      <xdr:row>1</xdr:row>
      <xdr:rowOff>703580</xdr:rowOff>
    </xdr:to>
    <xdr:sp macro="" textlink="">
      <xdr:nvSpPr>
        <xdr:cNvPr id="2" name="矩形 14">
          <a:extLst>
            <a:ext uri="{FF2B5EF4-FFF2-40B4-BE49-F238E27FC236}">
              <a16:creationId xmlns:a16="http://schemas.microsoft.com/office/drawing/2014/main" id="{00000000-0008-0000-0A00-000002000000}"/>
            </a:ext>
          </a:extLst>
        </xdr:cNvPr>
        <xdr:cNvSpPr/>
      </xdr:nvSpPr>
      <xdr:spPr>
        <a:xfrm>
          <a:off x="1152525" y="1289050"/>
          <a:ext cx="1247775" cy="43053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成立分析小组</a:t>
          </a:r>
        </a:p>
      </xdr:txBody>
    </xdr:sp>
    <xdr:clientData/>
  </xdr:twoCellAnchor>
  <xdr:twoCellAnchor>
    <xdr:from>
      <xdr:col>1</xdr:col>
      <xdr:colOff>108585</xdr:colOff>
      <xdr:row>2</xdr:row>
      <xdr:rowOff>20320</xdr:rowOff>
    </xdr:from>
    <xdr:to>
      <xdr:col>1</xdr:col>
      <xdr:colOff>2072005</xdr:colOff>
      <xdr:row>2</xdr:row>
      <xdr:rowOff>788670</xdr:rowOff>
    </xdr:to>
    <xdr:sp macro="" textlink="">
      <xdr:nvSpPr>
        <xdr:cNvPr id="3" name="流程图: 决策 15">
          <a:extLst>
            <a:ext uri="{FF2B5EF4-FFF2-40B4-BE49-F238E27FC236}">
              <a16:creationId xmlns:a16="http://schemas.microsoft.com/office/drawing/2014/main" id="{00000000-0008-0000-0A00-000003000000}"/>
            </a:ext>
          </a:extLst>
        </xdr:cNvPr>
        <xdr:cNvSpPr/>
      </xdr:nvSpPr>
      <xdr:spPr>
        <a:xfrm>
          <a:off x="794385" y="2052320"/>
          <a:ext cx="1963420" cy="768350"/>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潜在失效模式分析</a:t>
          </a:r>
        </a:p>
      </xdr:txBody>
    </xdr:sp>
    <xdr:clientData/>
  </xdr:twoCellAnchor>
  <xdr:twoCellAnchor>
    <xdr:from>
      <xdr:col>1</xdr:col>
      <xdr:colOff>156845</xdr:colOff>
      <xdr:row>4</xdr:row>
      <xdr:rowOff>174625</xdr:rowOff>
    </xdr:from>
    <xdr:to>
      <xdr:col>1</xdr:col>
      <xdr:colOff>2024380</xdr:colOff>
      <xdr:row>4</xdr:row>
      <xdr:rowOff>940435</xdr:rowOff>
    </xdr:to>
    <xdr:sp macro="" textlink="">
      <xdr:nvSpPr>
        <xdr:cNvPr id="4" name="流程图: 决策 16">
          <a:extLst>
            <a:ext uri="{FF2B5EF4-FFF2-40B4-BE49-F238E27FC236}">
              <a16:creationId xmlns:a16="http://schemas.microsoft.com/office/drawing/2014/main" id="{00000000-0008-0000-0A00-000004000000}"/>
            </a:ext>
          </a:extLst>
        </xdr:cNvPr>
        <xdr:cNvSpPr/>
      </xdr:nvSpPr>
      <xdr:spPr>
        <a:xfrm>
          <a:off x="842645" y="4238625"/>
          <a:ext cx="1867535" cy="765810"/>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严重度判定</a:t>
          </a:r>
        </a:p>
      </xdr:txBody>
    </xdr:sp>
    <xdr:clientData/>
  </xdr:twoCellAnchor>
  <xdr:twoCellAnchor>
    <xdr:from>
      <xdr:col>1</xdr:col>
      <xdr:colOff>109855</xdr:colOff>
      <xdr:row>3</xdr:row>
      <xdr:rowOff>107315</xdr:rowOff>
    </xdr:from>
    <xdr:to>
      <xdr:col>1</xdr:col>
      <xdr:colOff>2071370</xdr:colOff>
      <xdr:row>3</xdr:row>
      <xdr:rowOff>857250</xdr:rowOff>
    </xdr:to>
    <xdr:sp macro="" textlink="">
      <xdr:nvSpPr>
        <xdr:cNvPr id="5" name="流程图: 决策 17">
          <a:extLst>
            <a:ext uri="{FF2B5EF4-FFF2-40B4-BE49-F238E27FC236}">
              <a16:creationId xmlns:a16="http://schemas.microsoft.com/office/drawing/2014/main" id="{00000000-0008-0000-0A00-000005000000}"/>
            </a:ext>
          </a:extLst>
        </xdr:cNvPr>
        <xdr:cNvSpPr/>
      </xdr:nvSpPr>
      <xdr:spPr>
        <a:xfrm>
          <a:off x="795655" y="3155315"/>
          <a:ext cx="1961515" cy="749935"/>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潜在失效后果判定</a:t>
          </a:r>
        </a:p>
      </xdr:txBody>
    </xdr:sp>
    <xdr:clientData/>
  </xdr:twoCellAnchor>
  <xdr:twoCellAnchor>
    <xdr:from>
      <xdr:col>1</xdr:col>
      <xdr:colOff>99695</xdr:colOff>
      <xdr:row>5</xdr:row>
      <xdr:rowOff>161925</xdr:rowOff>
    </xdr:from>
    <xdr:to>
      <xdr:col>1</xdr:col>
      <xdr:colOff>2062480</xdr:colOff>
      <xdr:row>5</xdr:row>
      <xdr:rowOff>934085</xdr:rowOff>
    </xdr:to>
    <xdr:sp macro="" textlink="">
      <xdr:nvSpPr>
        <xdr:cNvPr id="6" name="流程图: 决策 18">
          <a:extLst>
            <a:ext uri="{FF2B5EF4-FFF2-40B4-BE49-F238E27FC236}">
              <a16:creationId xmlns:a16="http://schemas.microsoft.com/office/drawing/2014/main" id="{00000000-0008-0000-0A00-000006000000}"/>
            </a:ext>
          </a:extLst>
        </xdr:cNvPr>
        <xdr:cNvSpPr/>
      </xdr:nvSpPr>
      <xdr:spPr>
        <a:xfrm>
          <a:off x="785495" y="5241925"/>
          <a:ext cx="1962785" cy="772160"/>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失效起因</a:t>
          </a:r>
          <a:r>
            <a:rPr lang="en-US" altLang="zh-CN">
              <a:solidFill>
                <a:schemeClr val="tx1"/>
              </a:solidFill>
            </a:rPr>
            <a:t>/</a:t>
          </a:r>
          <a:r>
            <a:rPr lang="zh-CN" altLang="en-US">
              <a:solidFill>
                <a:schemeClr val="tx1"/>
              </a:solidFill>
            </a:rPr>
            <a:t>机理判定</a:t>
          </a:r>
        </a:p>
      </xdr:txBody>
    </xdr:sp>
    <xdr:clientData/>
  </xdr:twoCellAnchor>
  <xdr:twoCellAnchor>
    <xdr:from>
      <xdr:col>1</xdr:col>
      <xdr:colOff>99695</xdr:colOff>
      <xdr:row>6</xdr:row>
      <xdr:rowOff>225425</xdr:rowOff>
    </xdr:from>
    <xdr:to>
      <xdr:col>1</xdr:col>
      <xdr:colOff>2099945</xdr:colOff>
      <xdr:row>6</xdr:row>
      <xdr:rowOff>997585</xdr:rowOff>
    </xdr:to>
    <xdr:sp macro="" textlink="">
      <xdr:nvSpPr>
        <xdr:cNvPr id="7" name="流程图: 决策 19">
          <a:extLst>
            <a:ext uri="{FF2B5EF4-FFF2-40B4-BE49-F238E27FC236}">
              <a16:creationId xmlns:a16="http://schemas.microsoft.com/office/drawing/2014/main" id="{00000000-0008-0000-0A00-000007000000}"/>
            </a:ext>
          </a:extLst>
        </xdr:cNvPr>
        <xdr:cNvSpPr/>
      </xdr:nvSpPr>
      <xdr:spPr>
        <a:xfrm>
          <a:off x="785495" y="6321425"/>
          <a:ext cx="2000250" cy="772160"/>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频度判定</a:t>
          </a:r>
        </a:p>
      </xdr:txBody>
    </xdr:sp>
    <xdr:clientData/>
  </xdr:twoCellAnchor>
  <xdr:twoCellAnchor>
    <xdr:from>
      <xdr:col>1</xdr:col>
      <xdr:colOff>285750</xdr:colOff>
      <xdr:row>9</xdr:row>
      <xdr:rowOff>353060</xdr:rowOff>
    </xdr:from>
    <xdr:to>
      <xdr:col>1</xdr:col>
      <xdr:colOff>1856740</xdr:colOff>
      <xdr:row>9</xdr:row>
      <xdr:rowOff>809625</xdr:rowOff>
    </xdr:to>
    <xdr:sp macro="" textlink="">
      <xdr:nvSpPr>
        <xdr:cNvPr id="8" name="矩形 20">
          <a:extLst>
            <a:ext uri="{FF2B5EF4-FFF2-40B4-BE49-F238E27FC236}">
              <a16:creationId xmlns:a16="http://schemas.microsoft.com/office/drawing/2014/main" id="{00000000-0008-0000-0A00-000008000000}"/>
            </a:ext>
          </a:extLst>
        </xdr:cNvPr>
        <xdr:cNvSpPr/>
      </xdr:nvSpPr>
      <xdr:spPr>
        <a:xfrm>
          <a:off x="971550" y="9497060"/>
          <a:ext cx="1570990" cy="45656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现行过程控制描述</a:t>
          </a:r>
        </a:p>
      </xdr:txBody>
    </xdr:sp>
    <xdr:clientData/>
  </xdr:twoCellAnchor>
  <xdr:twoCellAnchor>
    <xdr:from>
      <xdr:col>1</xdr:col>
      <xdr:colOff>24130</xdr:colOff>
      <xdr:row>7</xdr:row>
      <xdr:rowOff>60325</xdr:rowOff>
    </xdr:from>
    <xdr:to>
      <xdr:col>1</xdr:col>
      <xdr:colOff>2176145</xdr:colOff>
      <xdr:row>7</xdr:row>
      <xdr:rowOff>986790</xdr:rowOff>
    </xdr:to>
    <xdr:sp macro="" textlink="">
      <xdr:nvSpPr>
        <xdr:cNvPr id="9" name="流程图: 决策 21">
          <a:extLst>
            <a:ext uri="{FF2B5EF4-FFF2-40B4-BE49-F238E27FC236}">
              <a16:creationId xmlns:a16="http://schemas.microsoft.com/office/drawing/2014/main" id="{00000000-0008-0000-0A00-000009000000}"/>
            </a:ext>
          </a:extLst>
        </xdr:cNvPr>
        <xdr:cNvSpPr/>
      </xdr:nvSpPr>
      <xdr:spPr>
        <a:xfrm>
          <a:off x="709930" y="7172325"/>
          <a:ext cx="2152015" cy="926465"/>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失效模式不易探测度评价</a:t>
          </a:r>
        </a:p>
      </xdr:txBody>
    </xdr:sp>
    <xdr:clientData/>
  </xdr:twoCellAnchor>
  <xdr:twoCellAnchor>
    <xdr:from>
      <xdr:col>1</xdr:col>
      <xdr:colOff>105410</xdr:colOff>
      <xdr:row>8</xdr:row>
      <xdr:rowOff>211455</xdr:rowOff>
    </xdr:from>
    <xdr:to>
      <xdr:col>1</xdr:col>
      <xdr:colOff>2056765</xdr:colOff>
      <xdr:row>8</xdr:row>
      <xdr:rowOff>976630</xdr:rowOff>
    </xdr:to>
    <xdr:sp macro="" textlink="">
      <xdr:nvSpPr>
        <xdr:cNvPr id="10" name="流程图: 决策 22">
          <a:extLst>
            <a:ext uri="{FF2B5EF4-FFF2-40B4-BE49-F238E27FC236}">
              <a16:creationId xmlns:a16="http://schemas.microsoft.com/office/drawing/2014/main" id="{00000000-0008-0000-0A00-00000A000000}"/>
            </a:ext>
          </a:extLst>
        </xdr:cNvPr>
        <xdr:cNvSpPr/>
      </xdr:nvSpPr>
      <xdr:spPr>
        <a:xfrm>
          <a:off x="791210" y="8339455"/>
          <a:ext cx="1951355" cy="765175"/>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olidFill>
                <a:schemeClr val="tx1"/>
              </a:solidFill>
            </a:rPr>
            <a:t>RPN</a:t>
          </a:r>
          <a:r>
            <a:rPr lang="zh-CN" altLang="en-US">
              <a:solidFill>
                <a:schemeClr val="tx1"/>
              </a:solidFill>
            </a:rPr>
            <a:t>系数计算</a:t>
          </a:r>
        </a:p>
      </xdr:txBody>
    </xdr:sp>
    <xdr:clientData/>
  </xdr:twoCellAnchor>
  <xdr:twoCellAnchor>
    <xdr:from>
      <xdr:col>1</xdr:col>
      <xdr:colOff>128905</xdr:colOff>
      <xdr:row>10</xdr:row>
      <xdr:rowOff>139065</xdr:rowOff>
    </xdr:from>
    <xdr:to>
      <xdr:col>1</xdr:col>
      <xdr:colOff>2034540</xdr:colOff>
      <xdr:row>11</xdr:row>
      <xdr:rowOff>3810</xdr:rowOff>
    </xdr:to>
    <xdr:sp macro="" textlink="">
      <xdr:nvSpPr>
        <xdr:cNvPr id="11" name="流程图: 决策 23">
          <a:extLst>
            <a:ext uri="{FF2B5EF4-FFF2-40B4-BE49-F238E27FC236}">
              <a16:creationId xmlns:a16="http://schemas.microsoft.com/office/drawing/2014/main" id="{00000000-0008-0000-0A00-00000B000000}"/>
            </a:ext>
          </a:extLst>
        </xdr:cNvPr>
        <xdr:cNvSpPr/>
      </xdr:nvSpPr>
      <xdr:spPr>
        <a:xfrm>
          <a:off x="814705" y="10299065"/>
          <a:ext cx="1905635" cy="880745"/>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现行过程评价</a:t>
          </a:r>
        </a:p>
      </xdr:txBody>
    </xdr:sp>
    <xdr:clientData/>
  </xdr:twoCellAnchor>
  <xdr:twoCellAnchor>
    <xdr:from>
      <xdr:col>1</xdr:col>
      <xdr:colOff>118745</xdr:colOff>
      <xdr:row>11</xdr:row>
      <xdr:rowOff>330835</xdr:rowOff>
    </xdr:from>
    <xdr:to>
      <xdr:col>1</xdr:col>
      <xdr:colOff>2024380</xdr:colOff>
      <xdr:row>11</xdr:row>
      <xdr:rowOff>737235</xdr:rowOff>
    </xdr:to>
    <xdr:sp macro="" textlink="">
      <xdr:nvSpPr>
        <xdr:cNvPr id="12" name="矩形 24">
          <a:extLst>
            <a:ext uri="{FF2B5EF4-FFF2-40B4-BE49-F238E27FC236}">
              <a16:creationId xmlns:a16="http://schemas.microsoft.com/office/drawing/2014/main" id="{00000000-0008-0000-0A00-00000C000000}"/>
            </a:ext>
          </a:extLst>
        </xdr:cNvPr>
        <xdr:cNvSpPr/>
      </xdr:nvSpPr>
      <xdr:spPr>
        <a:xfrm>
          <a:off x="804545" y="11506835"/>
          <a:ext cx="1905635" cy="40640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建议措施</a:t>
          </a:r>
        </a:p>
      </xdr:txBody>
    </xdr:sp>
    <xdr:clientData/>
  </xdr:twoCellAnchor>
  <xdr:twoCellAnchor>
    <xdr:from>
      <xdr:col>1</xdr:col>
      <xdr:colOff>184785</xdr:colOff>
      <xdr:row>12</xdr:row>
      <xdr:rowOff>408940</xdr:rowOff>
    </xdr:from>
    <xdr:to>
      <xdr:col>1</xdr:col>
      <xdr:colOff>1996440</xdr:colOff>
      <xdr:row>12</xdr:row>
      <xdr:rowOff>849630</xdr:rowOff>
    </xdr:to>
    <xdr:sp macro="" textlink="">
      <xdr:nvSpPr>
        <xdr:cNvPr id="13" name="矩形 25">
          <a:extLst>
            <a:ext uri="{FF2B5EF4-FFF2-40B4-BE49-F238E27FC236}">
              <a16:creationId xmlns:a16="http://schemas.microsoft.com/office/drawing/2014/main" id="{00000000-0008-0000-0A00-00000D000000}"/>
            </a:ext>
          </a:extLst>
        </xdr:cNvPr>
        <xdr:cNvSpPr/>
      </xdr:nvSpPr>
      <xdr:spPr>
        <a:xfrm>
          <a:off x="870585" y="12600940"/>
          <a:ext cx="1811655" cy="44069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采取措施</a:t>
          </a:r>
        </a:p>
      </xdr:txBody>
    </xdr:sp>
    <xdr:clientData/>
  </xdr:twoCellAnchor>
  <xdr:twoCellAnchor>
    <xdr:from>
      <xdr:col>1</xdr:col>
      <xdr:colOff>122555</xdr:colOff>
      <xdr:row>13</xdr:row>
      <xdr:rowOff>162560</xdr:rowOff>
    </xdr:from>
    <xdr:to>
      <xdr:col>1</xdr:col>
      <xdr:colOff>2058670</xdr:colOff>
      <xdr:row>13</xdr:row>
      <xdr:rowOff>829310</xdr:rowOff>
    </xdr:to>
    <xdr:sp macro="" textlink="">
      <xdr:nvSpPr>
        <xdr:cNvPr id="14" name="流程图: 决策 26">
          <a:extLst>
            <a:ext uri="{FF2B5EF4-FFF2-40B4-BE49-F238E27FC236}">
              <a16:creationId xmlns:a16="http://schemas.microsoft.com/office/drawing/2014/main" id="{00000000-0008-0000-0A00-00000E000000}"/>
            </a:ext>
          </a:extLst>
        </xdr:cNvPr>
        <xdr:cNvSpPr/>
      </xdr:nvSpPr>
      <xdr:spPr>
        <a:xfrm>
          <a:off x="808355" y="13370560"/>
          <a:ext cx="1936115" cy="666750"/>
        </a:xfrm>
        <a:prstGeom prst="flowChartDecision">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a:solidFill>
                <a:schemeClr val="tx1"/>
              </a:solidFill>
            </a:rPr>
            <a:t>措施结果评估</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1"/>
  <sheetViews>
    <sheetView view="pageBreakPreview" zoomScaleNormal="100" workbookViewId="0">
      <pane xSplit="4" ySplit="7" topLeftCell="E53" activePane="bottomRight" state="frozen"/>
      <selection pane="topRight"/>
      <selection pane="bottomLeft"/>
      <selection pane="bottomRight" activeCell="H53" sqref="H53:H55"/>
    </sheetView>
  </sheetViews>
  <sheetFormatPr defaultColWidth="9" defaultRowHeight="11.1" x14ac:dyDescent="0.45"/>
  <cols>
    <col min="1" max="1" width="7.84765625" style="2" customWidth="1"/>
    <col min="2" max="2" width="1.5" style="87" customWidth="1"/>
    <col min="3" max="3" width="7.5" style="87" customWidth="1"/>
    <col min="4" max="4" width="4.34765625" style="87" customWidth="1"/>
    <col min="5" max="5" width="2.5" style="2" customWidth="1"/>
    <col min="6" max="6" width="11.34765625" style="87" customWidth="1"/>
    <col min="7" max="7" width="2.09765625" style="87"/>
    <col min="8" max="8" width="15" style="87" customWidth="1"/>
    <col min="9" max="9" width="2.09765625" style="87"/>
    <col min="10" max="10" width="14" style="87" customWidth="1"/>
    <col min="11" max="11" width="2.84765625" style="87"/>
    <col min="12" max="12" width="4.84765625" style="87" customWidth="1"/>
    <col min="13" max="13" width="10.59765625" style="87" customWidth="1"/>
    <col min="14" max="14" width="11.84765625" style="87" customWidth="1"/>
    <col min="15" max="15" width="7.34765625" style="87" customWidth="1"/>
    <col min="16" max="16" width="3" style="87" customWidth="1"/>
    <col min="17" max="17" width="7.84765625" style="87" customWidth="1"/>
    <col min="18" max="20" width="2.09765625" style="87"/>
    <col min="21" max="21" width="5" style="87" customWidth="1"/>
    <col min="22" max="22" width="9.59765625" style="87" customWidth="1"/>
    <col min="23" max="23" width="9" style="87" customWidth="1"/>
    <col min="24" max="16384" width="9" style="87"/>
  </cols>
  <sheetData>
    <row r="1" spans="1:22" ht="38.1" customHeight="1" x14ac:dyDescent="0.45">
      <c r="A1" s="192" t="s">
        <v>0</v>
      </c>
      <c r="B1" s="192"/>
      <c r="C1" s="193"/>
      <c r="D1" s="193"/>
      <c r="E1" s="193"/>
      <c r="F1" s="193"/>
      <c r="G1" s="193"/>
      <c r="H1" s="193"/>
      <c r="I1" s="193"/>
      <c r="J1" s="193"/>
      <c r="K1" s="193"/>
      <c r="L1" s="193"/>
      <c r="M1" s="193"/>
      <c r="N1" s="193"/>
      <c r="O1" s="193"/>
      <c r="P1" s="193"/>
      <c r="Q1" s="193"/>
      <c r="R1" s="193"/>
      <c r="S1" s="193"/>
      <c r="T1" s="193"/>
      <c r="U1" s="193"/>
      <c r="V1" s="193"/>
    </row>
    <row r="2" spans="1:22" ht="15.6" customHeight="1" x14ac:dyDescent="0.45">
      <c r="A2" s="147" t="s">
        <v>1</v>
      </c>
      <c r="B2" s="148"/>
      <c r="C2" s="149" t="s">
        <v>2</v>
      </c>
      <c r="D2" s="149"/>
      <c r="E2" s="150"/>
      <c r="F2" s="149"/>
      <c r="G2" s="90"/>
      <c r="H2" s="90"/>
      <c r="I2" s="90"/>
      <c r="J2" s="149" t="s">
        <v>3</v>
      </c>
      <c r="K2" s="149"/>
      <c r="L2" s="149"/>
      <c r="M2" s="149"/>
      <c r="N2" s="149"/>
      <c r="O2" s="149"/>
      <c r="P2" s="90"/>
      <c r="Q2" s="147" t="s">
        <v>4</v>
      </c>
      <c r="R2" s="147"/>
      <c r="S2" s="147"/>
      <c r="T2" s="147"/>
      <c r="U2" s="147"/>
      <c r="V2" s="147"/>
    </row>
    <row r="3" spans="1:22" ht="15.6" customHeight="1" x14ac:dyDescent="0.45">
      <c r="A3" s="147" t="s">
        <v>1</v>
      </c>
      <c r="B3" s="148"/>
      <c r="C3" s="149" t="s">
        <v>5</v>
      </c>
      <c r="D3" s="149"/>
      <c r="E3" s="150"/>
      <c r="F3" s="149"/>
      <c r="G3" s="90"/>
      <c r="H3" s="90"/>
      <c r="I3" s="90"/>
      <c r="J3" s="149" t="s">
        <v>6</v>
      </c>
      <c r="K3" s="149"/>
      <c r="L3" s="149"/>
      <c r="M3" s="149"/>
      <c r="N3" s="149"/>
      <c r="O3" s="149"/>
      <c r="P3" s="90"/>
      <c r="Q3" s="151"/>
      <c r="R3" s="151"/>
      <c r="S3" s="151"/>
      <c r="T3" s="151"/>
      <c r="U3" s="151"/>
      <c r="V3" s="89"/>
    </row>
    <row r="4" spans="1:22" ht="15.6" customHeight="1" x14ac:dyDescent="0.45">
      <c r="A4" s="147" t="s">
        <v>1</v>
      </c>
      <c r="B4" s="148"/>
      <c r="C4" s="149" t="s">
        <v>7</v>
      </c>
      <c r="D4" s="149"/>
      <c r="E4" s="150"/>
      <c r="F4" s="149"/>
      <c r="G4" s="90"/>
      <c r="H4" s="90"/>
      <c r="I4" s="90"/>
      <c r="J4" s="149" t="s">
        <v>8</v>
      </c>
      <c r="K4" s="149"/>
      <c r="L4" s="149"/>
      <c r="M4" s="149"/>
      <c r="N4" s="149"/>
      <c r="O4" s="149"/>
      <c r="P4" s="90"/>
      <c r="V4" s="89"/>
    </row>
    <row r="5" spans="1:22" ht="11.1" customHeight="1" x14ac:dyDescent="0.45">
      <c r="A5" s="147" t="s">
        <v>1</v>
      </c>
      <c r="B5" s="148"/>
      <c r="C5" s="149"/>
      <c r="D5" s="149"/>
      <c r="E5" s="150"/>
      <c r="F5" s="149"/>
      <c r="G5" s="90"/>
      <c r="H5" s="90"/>
      <c r="I5" s="90"/>
      <c r="J5" s="149"/>
      <c r="K5" s="149"/>
      <c r="L5" s="149"/>
      <c r="M5" s="149"/>
      <c r="N5" s="149"/>
      <c r="O5" s="149"/>
      <c r="P5" s="90"/>
      <c r="Q5" s="149"/>
      <c r="R5" s="149"/>
      <c r="S5" s="149"/>
      <c r="T5" s="149"/>
      <c r="U5" s="149"/>
      <c r="V5" s="89"/>
    </row>
    <row r="6" spans="1:22" ht="17.100000000000001" customHeight="1" x14ac:dyDescent="0.45">
      <c r="A6" s="154" t="s">
        <v>9</v>
      </c>
      <c r="B6" s="154" t="s">
        <v>10</v>
      </c>
      <c r="C6" s="154"/>
      <c r="D6" s="154" t="s">
        <v>11</v>
      </c>
      <c r="E6" s="154" t="s">
        <v>12</v>
      </c>
      <c r="F6" s="154"/>
      <c r="G6" s="215" t="s">
        <v>13</v>
      </c>
      <c r="H6" s="154" t="s">
        <v>14</v>
      </c>
      <c r="I6" s="154"/>
      <c r="J6" s="154"/>
      <c r="K6" s="154"/>
      <c r="L6" s="174" t="s">
        <v>15</v>
      </c>
      <c r="M6" s="163" t="s">
        <v>16</v>
      </c>
      <c r="N6" s="154" t="s">
        <v>17</v>
      </c>
      <c r="O6" s="154" t="s">
        <v>18</v>
      </c>
      <c r="P6" s="154" t="s">
        <v>19</v>
      </c>
      <c r="Q6" s="154"/>
      <c r="R6" s="154"/>
      <c r="S6" s="154"/>
      <c r="T6" s="154"/>
      <c r="U6" s="154"/>
      <c r="V6" s="154" t="s">
        <v>20</v>
      </c>
    </row>
    <row r="7" spans="1:22" ht="73" customHeight="1" x14ac:dyDescent="0.45">
      <c r="A7" s="163"/>
      <c r="B7" s="154"/>
      <c r="C7" s="154"/>
      <c r="D7" s="154"/>
      <c r="E7" s="154"/>
      <c r="F7" s="154"/>
      <c r="G7" s="215"/>
      <c r="H7" s="93" t="s">
        <v>21</v>
      </c>
      <c r="I7" s="95" t="s">
        <v>22</v>
      </c>
      <c r="J7" s="4" t="s">
        <v>23</v>
      </c>
      <c r="K7" s="95" t="s">
        <v>24</v>
      </c>
      <c r="L7" s="174"/>
      <c r="M7" s="164"/>
      <c r="N7" s="154"/>
      <c r="O7" s="163"/>
      <c r="P7" s="154" t="s">
        <v>25</v>
      </c>
      <c r="Q7" s="154"/>
      <c r="R7" s="95" t="s">
        <v>13</v>
      </c>
      <c r="S7" s="95" t="s">
        <v>26</v>
      </c>
      <c r="T7" s="95" t="s">
        <v>24</v>
      </c>
      <c r="U7" s="93" t="s">
        <v>15</v>
      </c>
      <c r="V7" s="154"/>
    </row>
    <row r="8" spans="1:22" s="88" customFormat="1" ht="76" customHeight="1" x14ac:dyDescent="0.45">
      <c r="A8" s="183" t="s">
        <v>27</v>
      </c>
      <c r="B8" s="183" t="s">
        <v>28</v>
      </c>
      <c r="C8" s="184"/>
      <c r="D8" s="156" t="s">
        <v>29</v>
      </c>
      <c r="E8" s="7" t="s">
        <v>30</v>
      </c>
      <c r="F8" s="7" t="s">
        <v>31</v>
      </c>
      <c r="G8" s="7">
        <v>4</v>
      </c>
      <c r="H8" s="160" t="s">
        <v>32</v>
      </c>
      <c r="I8" s="7">
        <v>1</v>
      </c>
      <c r="J8" s="160" t="s">
        <v>33</v>
      </c>
      <c r="K8" s="7">
        <v>9</v>
      </c>
      <c r="L8" s="7">
        <f t="shared" ref="L8:L11" si="0">G8*I8*K8</f>
        <v>36</v>
      </c>
      <c r="M8" s="165" t="s">
        <v>34</v>
      </c>
      <c r="N8" s="160" t="s">
        <v>35</v>
      </c>
      <c r="O8" s="182" t="s">
        <v>36</v>
      </c>
      <c r="P8" s="194"/>
      <c r="Q8" s="195"/>
      <c r="R8" s="119"/>
      <c r="S8" s="120"/>
      <c r="T8" s="120"/>
      <c r="U8" s="120"/>
      <c r="V8" s="7" t="s">
        <v>37</v>
      </c>
    </row>
    <row r="9" spans="1:22" s="88" customFormat="1" ht="76" customHeight="1" x14ac:dyDescent="0.45">
      <c r="A9" s="185"/>
      <c r="B9" s="185"/>
      <c r="C9" s="186"/>
      <c r="D9" s="156"/>
      <c r="E9" s="121" t="s">
        <v>38</v>
      </c>
      <c r="F9" s="121" t="s">
        <v>39</v>
      </c>
      <c r="G9" s="121">
        <v>3</v>
      </c>
      <c r="H9" s="160"/>
      <c r="I9" s="121">
        <v>2</v>
      </c>
      <c r="J9" s="160"/>
      <c r="K9" s="121">
        <v>9</v>
      </c>
      <c r="L9" s="121">
        <f t="shared" si="0"/>
        <v>54</v>
      </c>
      <c r="M9" s="166"/>
      <c r="N9" s="160"/>
      <c r="O9" s="182"/>
      <c r="P9" s="196"/>
      <c r="Q9" s="194"/>
      <c r="R9" s="119"/>
      <c r="S9" s="120"/>
      <c r="T9" s="120"/>
      <c r="U9" s="120"/>
      <c r="V9" s="7" t="s">
        <v>37</v>
      </c>
    </row>
    <row r="10" spans="1:22" s="116" customFormat="1" ht="76" customHeight="1" x14ac:dyDescent="0.45">
      <c r="A10" s="185"/>
      <c r="B10" s="185"/>
      <c r="C10" s="186"/>
      <c r="D10" s="211"/>
      <c r="E10" s="7" t="s">
        <v>40</v>
      </c>
      <c r="F10" s="7" t="s">
        <v>41</v>
      </c>
      <c r="G10" s="7">
        <v>4</v>
      </c>
      <c r="H10" s="216"/>
      <c r="I10" s="7">
        <v>1</v>
      </c>
      <c r="J10" s="216"/>
      <c r="K10" s="7">
        <v>9</v>
      </c>
      <c r="L10" s="7">
        <f t="shared" si="0"/>
        <v>36</v>
      </c>
      <c r="M10" s="167"/>
      <c r="N10" s="160"/>
      <c r="O10" s="182"/>
      <c r="P10" s="194"/>
      <c r="Q10" s="195"/>
      <c r="R10" s="119"/>
      <c r="S10" s="120"/>
      <c r="T10" s="120"/>
      <c r="U10" s="120"/>
      <c r="V10" s="7" t="s">
        <v>37</v>
      </c>
    </row>
    <row r="11" spans="1:22" s="116" customFormat="1" ht="85" customHeight="1" x14ac:dyDescent="0.45">
      <c r="A11" s="185"/>
      <c r="B11" s="185"/>
      <c r="C11" s="186"/>
      <c r="D11" s="156" t="s">
        <v>42</v>
      </c>
      <c r="E11" s="7" t="s">
        <v>30</v>
      </c>
      <c r="F11" s="7" t="s">
        <v>43</v>
      </c>
      <c r="G11" s="7">
        <v>3</v>
      </c>
      <c r="H11" s="217" t="s">
        <v>44</v>
      </c>
      <c r="I11" s="7">
        <v>1</v>
      </c>
      <c r="J11" s="221" t="s">
        <v>45</v>
      </c>
      <c r="K11" s="7">
        <v>9</v>
      </c>
      <c r="L11" s="7">
        <f t="shared" si="0"/>
        <v>27</v>
      </c>
      <c r="M11" s="165" t="s">
        <v>46</v>
      </c>
      <c r="N11" s="155" t="s">
        <v>35</v>
      </c>
      <c r="O11" s="231" t="s">
        <v>36</v>
      </c>
      <c r="P11" s="158"/>
      <c r="Q11" s="155"/>
      <c r="R11" s="100"/>
      <c r="S11" s="7"/>
      <c r="T11" s="7"/>
      <c r="U11" s="7"/>
      <c r="V11" s="7"/>
    </row>
    <row r="12" spans="1:22" s="116" customFormat="1" ht="85" customHeight="1" x14ac:dyDescent="0.45">
      <c r="A12" s="185"/>
      <c r="B12" s="185"/>
      <c r="C12" s="186"/>
      <c r="D12" s="156"/>
      <c r="E12" s="121" t="s">
        <v>38</v>
      </c>
      <c r="F12" s="121" t="s">
        <v>47</v>
      </c>
      <c r="G12" s="121">
        <v>3</v>
      </c>
      <c r="H12" s="218"/>
      <c r="I12" s="121">
        <v>2</v>
      </c>
      <c r="J12" s="222"/>
      <c r="K12" s="121">
        <v>9</v>
      </c>
      <c r="L12" s="7">
        <f t="shared" ref="L12:L19" si="1">G12*I12*K12</f>
        <v>54</v>
      </c>
      <c r="M12" s="166"/>
      <c r="N12" s="155"/>
      <c r="O12" s="231"/>
      <c r="P12" s="158"/>
      <c r="Q12" s="155"/>
      <c r="R12" s="100"/>
      <c r="S12" s="7"/>
      <c r="T12" s="7"/>
      <c r="U12" s="7"/>
      <c r="V12" s="7"/>
    </row>
    <row r="13" spans="1:22" s="116" customFormat="1" ht="85" customHeight="1" x14ac:dyDescent="0.45">
      <c r="A13" s="185"/>
      <c r="B13" s="185"/>
      <c r="C13" s="186"/>
      <c r="D13" s="211"/>
      <c r="E13" s="7" t="s">
        <v>40</v>
      </c>
      <c r="F13" s="7" t="s">
        <v>41</v>
      </c>
      <c r="G13" s="7">
        <v>3</v>
      </c>
      <c r="H13" s="218"/>
      <c r="I13" s="7">
        <v>1</v>
      </c>
      <c r="J13" s="222"/>
      <c r="K13" s="7">
        <v>9</v>
      </c>
      <c r="L13" s="7">
        <f t="shared" si="1"/>
        <v>27</v>
      </c>
      <c r="M13" s="167"/>
      <c r="N13" s="155"/>
      <c r="O13" s="231"/>
      <c r="P13" s="158"/>
      <c r="Q13" s="155"/>
      <c r="R13" s="100"/>
      <c r="S13" s="7"/>
      <c r="T13" s="7"/>
      <c r="U13" s="7"/>
      <c r="V13" s="7"/>
    </row>
    <row r="14" spans="1:22" s="116" customFormat="1" ht="53.05" customHeight="1" x14ac:dyDescent="0.45">
      <c r="A14" s="185"/>
      <c r="B14" s="185"/>
      <c r="C14" s="186"/>
      <c r="D14" s="156" t="s">
        <v>48</v>
      </c>
      <c r="E14" s="7" t="s">
        <v>30</v>
      </c>
      <c r="F14" s="7" t="s">
        <v>49</v>
      </c>
      <c r="G14" s="7">
        <v>1</v>
      </c>
      <c r="H14" s="219" t="s">
        <v>50</v>
      </c>
      <c r="I14" s="7">
        <v>1</v>
      </c>
      <c r="J14" s="221" t="s">
        <v>45</v>
      </c>
      <c r="K14" s="7">
        <v>1</v>
      </c>
      <c r="L14" s="7">
        <f t="shared" si="1"/>
        <v>1</v>
      </c>
      <c r="M14" s="165" t="s">
        <v>51</v>
      </c>
      <c r="N14" s="155"/>
      <c r="O14" s="231"/>
      <c r="P14" s="158"/>
      <c r="Q14" s="155"/>
      <c r="R14" s="100"/>
      <c r="S14" s="7"/>
      <c r="T14" s="7"/>
      <c r="U14" s="7"/>
      <c r="V14" s="7"/>
    </row>
    <row r="15" spans="1:22" s="116" customFormat="1" ht="53.05" customHeight="1" x14ac:dyDescent="0.45">
      <c r="A15" s="185"/>
      <c r="B15" s="185"/>
      <c r="C15" s="186"/>
      <c r="D15" s="156"/>
      <c r="E15" s="121" t="s">
        <v>38</v>
      </c>
      <c r="F15" s="7" t="s">
        <v>49</v>
      </c>
      <c r="G15" s="7">
        <v>1</v>
      </c>
      <c r="H15" s="220"/>
      <c r="I15" s="121">
        <v>2</v>
      </c>
      <c r="J15" s="222"/>
      <c r="K15" s="7">
        <v>1</v>
      </c>
      <c r="L15" s="7">
        <f t="shared" si="1"/>
        <v>2</v>
      </c>
      <c r="M15" s="166"/>
      <c r="N15" s="155"/>
      <c r="O15" s="231"/>
      <c r="P15" s="158"/>
      <c r="Q15" s="155"/>
      <c r="R15" s="100"/>
      <c r="S15" s="7"/>
      <c r="T15" s="7"/>
      <c r="U15" s="7"/>
      <c r="V15" s="7"/>
    </row>
    <row r="16" spans="1:22" s="116" customFormat="1" ht="53.05" customHeight="1" x14ac:dyDescent="0.45">
      <c r="A16" s="185"/>
      <c r="B16" s="185"/>
      <c r="C16" s="186"/>
      <c r="D16" s="211"/>
      <c r="E16" s="7" t="s">
        <v>40</v>
      </c>
      <c r="F16" s="7" t="s">
        <v>49</v>
      </c>
      <c r="G16" s="7">
        <v>1</v>
      </c>
      <c r="H16" s="220"/>
      <c r="I16" s="7">
        <v>1</v>
      </c>
      <c r="J16" s="222"/>
      <c r="K16" s="7">
        <v>1</v>
      </c>
      <c r="L16" s="7">
        <f t="shared" si="1"/>
        <v>1</v>
      </c>
      <c r="M16" s="167"/>
      <c r="N16" s="155"/>
      <c r="O16" s="231"/>
      <c r="P16" s="158"/>
      <c r="Q16" s="155"/>
      <c r="R16" s="100"/>
      <c r="S16" s="7"/>
      <c r="T16" s="7"/>
      <c r="U16" s="7"/>
      <c r="V16" s="7"/>
    </row>
    <row r="17" spans="1:22" s="116" customFormat="1" ht="53.05" customHeight="1" x14ac:dyDescent="0.45">
      <c r="A17" s="185"/>
      <c r="B17" s="185"/>
      <c r="C17" s="186"/>
      <c r="D17" s="156" t="s">
        <v>52</v>
      </c>
      <c r="E17" s="7" t="s">
        <v>30</v>
      </c>
      <c r="F17" s="7" t="s">
        <v>43</v>
      </c>
      <c r="G17" s="7">
        <v>3</v>
      </c>
      <c r="H17" s="217" t="s">
        <v>53</v>
      </c>
      <c r="I17" s="7">
        <v>1</v>
      </c>
      <c r="J17" s="221" t="s">
        <v>54</v>
      </c>
      <c r="K17" s="7">
        <v>9</v>
      </c>
      <c r="L17" s="7">
        <f t="shared" si="1"/>
        <v>27</v>
      </c>
      <c r="M17" s="165" t="s">
        <v>46</v>
      </c>
      <c r="N17" s="155" t="s">
        <v>55</v>
      </c>
      <c r="O17" s="231"/>
      <c r="P17" s="158"/>
      <c r="Q17" s="155"/>
      <c r="R17" s="100"/>
      <c r="S17" s="7"/>
      <c r="T17" s="7"/>
      <c r="U17" s="7"/>
      <c r="V17" s="7"/>
    </row>
    <row r="18" spans="1:22" s="116" customFormat="1" ht="38.049999999999997" customHeight="1" x14ac:dyDescent="0.45">
      <c r="A18" s="185"/>
      <c r="B18" s="185"/>
      <c r="C18" s="186"/>
      <c r="D18" s="156"/>
      <c r="E18" s="121" t="s">
        <v>38</v>
      </c>
      <c r="F18" s="121" t="s">
        <v>47</v>
      </c>
      <c r="G18" s="121">
        <v>3</v>
      </c>
      <c r="H18" s="218"/>
      <c r="I18" s="121">
        <v>2</v>
      </c>
      <c r="J18" s="222"/>
      <c r="K18" s="121">
        <v>9</v>
      </c>
      <c r="L18" s="7">
        <f t="shared" si="1"/>
        <v>54</v>
      </c>
      <c r="M18" s="166"/>
      <c r="N18" s="155"/>
      <c r="O18" s="231"/>
      <c r="P18" s="158"/>
      <c r="Q18" s="155"/>
      <c r="R18" s="100"/>
      <c r="S18" s="7"/>
      <c r="T18" s="7"/>
      <c r="U18" s="7"/>
      <c r="V18" s="7"/>
    </row>
    <row r="19" spans="1:22" s="116" customFormat="1" ht="38.049999999999997" customHeight="1" x14ac:dyDescent="0.45">
      <c r="A19" s="187"/>
      <c r="B19" s="185"/>
      <c r="C19" s="186"/>
      <c r="D19" s="211"/>
      <c r="E19" s="7" t="s">
        <v>40</v>
      </c>
      <c r="F19" s="7" t="s">
        <v>41</v>
      </c>
      <c r="G19" s="7">
        <v>3</v>
      </c>
      <c r="H19" s="218"/>
      <c r="I19" s="7">
        <v>1</v>
      </c>
      <c r="J19" s="222"/>
      <c r="K19" s="7">
        <v>9</v>
      </c>
      <c r="L19" s="7">
        <f t="shared" si="1"/>
        <v>27</v>
      </c>
      <c r="M19" s="167"/>
      <c r="N19" s="155"/>
      <c r="O19" s="231"/>
      <c r="P19" s="158"/>
      <c r="Q19" s="155"/>
      <c r="R19" s="100"/>
      <c r="S19" s="7"/>
      <c r="T19" s="7"/>
      <c r="U19" s="7"/>
      <c r="V19" s="7"/>
    </row>
    <row r="20" spans="1:22" s="88" customFormat="1" ht="73" customHeight="1" x14ac:dyDescent="0.45">
      <c r="A20" s="202" t="s">
        <v>56</v>
      </c>
      <c r="B20" s="202" t="s">
        <v>57</v>
      </c>
      <c r="C20" s="239"/>
      <c r="D20" s="204" t="s">
        <v>58</v>
      </c>
      <c r="E20" s="7" t="s">
        <v>30</v>
      </c>
      <c r="F20" s="7" t="s">
        <v>59</v>
      </c>
      <c r="G20" s="7">
        <v>4</v>
      </c>
      <c r="H20" s="155" t="s">
        <v>60</v>
      </c>
      <c r="I20" s="7">
        <v>1</v>
      </c>
      <c r="J20" s="175" t="s">
        <v>61</v>
      </c>
      <c r="K20" s="7">
        <v>3</v>
      </c>
      <c r="L20" s="7">
        <f t="shared" ref="L20:L25" si="2">G20*I20*K20</f>
        <v>12</v>
      </c>
      <c r="M20" s="165" t="s">
        <v>34</v>
      </c>
      <c r="N20" s="165" t="s">
        <v>62</v>
      </c>
      <c r="O20" s="123"/>
      <c r="P20" s="158"/>
      <c r="Q20" s="155"/>
      <c r="R20" s="100"/>
      <c r="S20" s="7"/>
      <c r="T20" s="7"/>
      <c r="U20" s="7"/>
      <c r="V20" s="7" t="s">
        <v>37</v>
      </c>
    </row>
    <row r="21" spans="1:22" s="116" customFormat="1" ht="73" customHeight="1" x14ac:dyDescent="0.45">
      <c r="A21" s="203"/>
      <c r="B21" s="203"/>
      <c r="C21" s="240"/>
      <c r="D21" s="204"/>
      <c r="E21" s="121" t="s">
        <v>38</v>
      </c>
      <c r="F21" s="121" t="s">
        <v>63</v>
      </c>
      <c r="G21" s="121">
        <v>3</v>
      </c>
      <c r="H21" s="155"/>
      <c r="I21" s="121">
        <v>2</v>
      </c>
      <c r="J21" s="176"/>
      <c r="K21" s="121">
        <v>3</v>
      </c>
      <c r="L21" s="121">
        <f t="shared" si="2"/>
        <v>18</v>
      </c>
      <c r="M21" s="166"/>
      <c r="N21" s="166"/>
      <c r="O21" s="123"/>
      <c r="P21" s="158"/>
      <c r="Q21" s="155"/>
      <c r="R21" s="100"/>
      <c r="S21" s="7"/>
      <c r="T21" s="7"/>
      <c r="U21" s="7"/>
      <c r="V21" s="7" t="s">
        <v>37</v>
      </c>
    </row>
    <row r="22" spans="1:22" s="88" customFormat="1" ht="73" customHeight="1" x14ac:dyDescent="0.45">
      <c r="A22" s="203"/>
      <c r="B22" s="203"/>
      <c r="C22" s="240"/>
      <c r="D22" s="204"/>
      <c r="E22" s="7" t="s">
        <v>40</v>
      </c>
      <c r="F22" s="101" t="s">
        <v>41</v>
      </c>
      <c r="G22" s="101">
        <v>4</v>
      </c>
      <c r="H22" s="165"/>
      <c r="I22" s="103">
        <v>1</v>
      </c>
      <c r="J22" s="176"/>
      <c r="K22" s="101">
        <v>3</v>
      </c>
      <c r="L22" s="101">
        <f t="shared" si="2"/>
        <v>12</v>
      </c>
      <c r="M22" s="166"/>
      <c r="N22" s="166"/>
      <c r="O22" s="124"/>
      <c r="P22" s="158"/>
      <c r="Q22" s="155"/>
      <c r="R22" s="100"/>
      <c r="S22" s="7"/>
      <c r="T22" s="7"/>
      <c r="U22" s="7"/>
      <c r="V22" s="7" t="s">
        <v>37</v>
      </c>
    </row>
    <row r="23" spans="1:22" s="88" customFormat="1" ht="39" customHeight="1" x14ac:dyDescent="0.45">
      <c r="A23" s="203"/>
      <c r="B23" s="203"/>
      <c r="C23" s="240"/>
      <c r="D23" s="212" t="s">
        <v>64</v>
      </c>
      <c r="E23" s="7" t="s">
        <v>30</v>
      </c>
      <c r="F23" s="7" t="s">
        <v>43</v>
      </c>
      <c r="G23" s="7">
        <v>4</v>
      </c>
      <c r="H23" s="160" t="s">
        <v>65</v>
      </c>
      <c r="I23" s="7">
        <v>1</v>
      </c>
      <c r="J23" s="175" t="s">
        <v>61</v>
      </c>
      <c r="K23" s="7">
        <v>3</v>
      </c>
      <c r="L23" s="7">
        <f t="shared" si="2"/>
        <v>12</v>
      </c>
      <c r="M23" s="101"/>
      <c r="N23" s="165" t="s">
        <v>62</v>
      </c>
      <c r="O23" s="124"/>
      <c r="P23" s="158"/>
      <c r="Q23" s="155"/>
      <c r="R23" s="100"/>
      <c r="S23" s="7"/>
      <c r="T23" s="7"/>
      <c r="U23" s="7"/>
      <c r="V23" s="7" t="s">
        <v>37</v>
      </c>
    </row>
    <row r="24" spans="1:22" s="88" customFormat="1" ht="39" customHeight="1" x14ac:dyDescent="0.45">
      <c r="A24" s="203"/>
      <c r="B24" s="203"/>
      <c r="C24" s="240"/>
      <c r="D24" s="213"/>
      <c r="E24" s="121" t="s">
        <v>38</v>
      </c>
      <c r="F24" s="121" t="s">
        <v>66</v>
      </c>
      <c r="G24" s="121">
        <v>3</v>
      </c>
      <c r="H24" s="160"/>
      <c r="I24" s="121">
        <v>2</v>
      </c>
      <c r="J24" s="176"/>
      <c r="K24" s="121">
        <v>3</v>
      </c>
      <c r="L24" s="121">
        <f t="shared" si="2"/>
        <v>18</v>
      </c>
      <c r="M24" s="122"/>
      <c r="N24" s="166"/>
      <c r="O24" s="124"/>
      <c r="P24" s="158"/>
      <c r="Q24" s="155"/>
      <c r="R24" s="100"/>
      <c r="S24" s="7"/>
      <c r="T24" s="7"/>
      <c r="U24" s="7"/>
      <c r="V24" s="7" t="s">
        <v>37</v>
      </c>
    </row>
    <row r="25" spans="1:22" s="88" customFormat="1" ht="39" customHeight="1" x14ac:dyDescent="0.45">
      <c r="A25" s="203"/>
      <c r="B25" s="203"/>
      <c r="C25" s="240"/>
      <c r="D25" s="214"/>
      <c r="E25" s="7" t="s">
        <v>40</v>
      </c>
      <c r="F25" s="101" t="s">
        <v>41</v>
      </c>
      <c r="G25" s="101">
        <v>4</v>
      </c>
      <c r="H25" s="175"/>
      <c r="I25" s="103">
        <v>1</v>
      </c>
      <c r="J25" s="176"/>
      <c r="K25" s="101">
        <v>3</v>
      </c>
      <c r="L25" s="101">
        <f t="shared" si="2"/>
        <v>12</v>
      </c>
      <c r="M25" s="104"/>
      <c r="N25" s="166"/>
      <c r="O25" s="124"/>
      <c r="P25" s="158"/>
      <c r="Q25" s="155"/>
      <c r="R25" s="100"/>
      <c r="S25" s="7"/>
      <c r="T25" s="7"/>
      <c r="U25" s="7"/>
      <c r="V25" s="7" t="s">
        <v>37</v>
      </c>
    </row>
    <row r="26" spans="1:22" s="88" customFormat="1" ht="24" customHeight="1" x14ac:dyDescent="0.45">
      <c r="A26" s="165" t="s">
        <v>67</v>
      </c>
      <c r="B26" s="183" t="s">
        <v>68</v>
      </c>
      <c r="C26" s="184"/>
      <c r="D26" s="165" t="s">
        <v>69</v>
      </c>
      <c r="E26" s="7" t="s">
        <v>30</v>
      </c>
      <c r="F26" s="7" t="s">
        <v>49</v>
      </c>
      <c r="G26" s="7"/>
      <c r="H26" s="165" t="s">
        <v>70</v>
      </c>
      <c r="I26" s="100"/>
      <c r="J26" s="165" t="s">
        <v>71</v>
      </c>
      <c r="K26" s="7"/>
      <c r="L26" s="7">
        <f t="shared" ref="L26:L27" si="3">G26*I26*K26</f>
        <v>0</v>
      </c>
      <c r="M26" s="101"/>
      <c r="N26" s="165" t="s">
        <v>72</v>
      </c>
      <c r="O26" s="98" t="s">
        <v>73</v>
      </c>
      <c r="P26" s="155"/>
      <c r="Q26" s="155"/>
      <c r="R26" s="7"/>
      <c r="S26" s="7"/>
      <c r="T26" s="7"/>
      <c r="U26" s="7">
        <f t="shared" ref="U26:U29" si="4">R26*S26*T26</f>
        <v>0</v>
      </c>
      <c r="V26" s="7" t="s">
        <v>74</v>
      </c>
    </row>
    <row r="27" spans="1:22" s="88" customFormat="1" ht="33" customHeight="1" x14ac:dyDescent="0.45">
      <c r="A27" s="166"/>
      <c r="B27" s="185"/>
      <c r="C27" s="186"/>
      <c r="D27" s="166"/>
      <c r="E27" s="7" t="s">
        <v>38</v>
      </c>
      <c r="F27" s="7" t="s">
        <v>75</v>
      </c>
      <c r="G27" s="7">
        <v>2</v>
      </c>
      <c r="H27" s="166"/>
      <c r="I27" s="100">
        <v>2</v>
      </c>
      <c r="J27" s="166"/>
      <c r="K27" s="7">
        <v>7</v>
      </c>
      <c r="L27" s="7">
        <f t="shared" si="3"/>
        <v>28</v>
      </c>
      <c r="M27" s="104"/>
      <c r="N27" s="166"/>
      <c r="O27" s="98"/>
      <c r="P27" s="155"/>
      <c r="Q27" s="155"/>
      <c r="R27" s="7"/>
      <c r="S27" s="7"/>
      <c r="T27" s="7"/>
      <c r="U27" s="7">
        <f t="shared" si="4"/>
        <v>0</v>
      </c>
      <c r="V27" s="7" t="s">
        <v>74</v>
      </c>
    </row>
    <row r="28" spans="1:22" s="88" customFormat="1" ht="33" customHeight="1" x14ac:dyDescent="0.45">
      <c r="A28" s="167"/>
      <c r="B28" s="187"/>
      <c r="C28" s="188"/>
      <c r="D28" s="167"/>
      <c r="E28" s="7" t="s">
        <v>40</v>
      </c>
      <c r="F28" s="7" t="s">
        <v>49</v>
      </c>
      <c r="G28" s="7"/>
      <c r="H28" s="167"/>
      <c r="I28" s="100"/>
      <c r="J28" s="167"/>
      <c r="K28" s="7"/>
      <c r="L28" s="7"/>
      <c r="M28" s="104"/>
      <c r="N28" s="166"/>
      <c r="O28" s="98"/>
      <c r="P28" s="157"/>
      <c r="Q28" s="158"/>
      <c r="R28" s="7"/>
      <c r="S28" s="7"/>
      <c r="T28" s="7"/>
      <c r="U28" s="7"/>
      <c r="V28" s="7" t="s">
        <v>74</v>
      </c>
    </row>
    <row r="29" spans="1:22" s="88" customFormat="1" ht="20.05" customHeight="1" x14ac:dyDescent="0.45">
      <c r="A29" s="160" t="s">
        <v>76</v>
      </c>
      <c r="B29" s="156" t="s">
        <v>77</v>
      </c>
      <c r="C29" s="156"/>
      <c r="D29" s="155" t="s">
        <v>69</v>
      </c>
      <c r="E29" s="7" t="s">
        <v>30</v>
      </c>
      <c r="F29" s="7"/>
      <c r="G29" s="7"/>
      <c r="H29" s="155" t="s">
        <v>70</v>
      </c>
      <c r="I29" s="100"/>
      <c r="J29" s="155" t="s">
        <v>78</v>
      </c>
      <c r="K29" s="7"/>
      <c r="L29" s="7">
        <f t="shared" ref="L29:L33" si="5">G29*I29*K29</f>
        <v>0</v>
      </c>
      <c r="M29" s="7"/>
      <c r="N29" s="155"/>
      <c r="O29" s="98"/>
      <c r="P29" s="155"/>
      <c r="Q29" s="155"/>
      <c r="R29" s="7"/>
      <c r="S29" s="7"/>
      <c r="T29" s="7"/>
      <c r="U29" s="7">
        <f t="shared" si="4"/>
        <v>0</v>
      </c>
      <c r="V29" s="7" t="s">
        <v>74</v>
      </c>
    </row>
    <row r="30" spans="1:22" s="88" customFormat="1" ht="20.05" customHeight="1" x14ac:dyDescent="0.45">
      <c r="A30" s="160"/>
      <c r="B30" s="156"/>
      <c r="C30" s="156"/>
      <c r="D30" s="155"/>
      <c r="E30" s="7" t="s">
        <v>38</v>
      </c>
      <c r="F30" s="7" t="s">
        <v>75</v>
      </c>
      <c r="G30" s="7">
        <v>3</v>
      </c>
      <c r="H30" s="155"/>
      <c r="I30" s="100">
        <v>2</v>
      </c>
      <c r="J30" s="155"/>
      <c r="K30" s="7">
        <v>7</v>
      </c>
      <c r="L30" s="7">
        <f t="shared" si="5"/>
        <v>42</v>
      </c>
      <c r="M30" s="7"/>
      <c r="N30" s="155"/>
      <c r="O30" s="98"/>
      <c r="P30" s="157"/>
      <c r="Q30" s="158"/>
      <c r="R30" s="7"/>
      <c r="S30" s="7"/>
      <c r="T30" s="7"/>
      <c r="U30" s="7"/>
      <c r="V30" s="7" t="s">
        <v>74</v>
      </c>
    </row>
    <row r="31" spans="1:22" s="88" customFormat="1" ht="27" customHeight="1" x14ac:dyDescent="0.45">
      <c r="A31" s="160"/>
      <c r="B31" s="156"/>
      <c r="C31" s="156"/>
      <c r="D31" s="155"/>
      <c r="E31" s="7" t="s">
        <v>40</v>
      </c>
      <c r="F31" s="7"/>
      <c r="G31" s="7"/>
      <c r="H31" s="155"/>
      <c r="I31" s="100"/>
      <c r="J31" s="155"/>
      <c r="K31" s="7"/>
      <c r="L31" s="7">
        <f t="shared" si="5"/>
        <v>0</v>
      </c>
      <c r="M31" s="7"/>
      <c r="N31" s="155"/>
      <c r="O31" s="98"/>
      <c r="P31" s="155"/>
      <c r="Q31" s="155"/>
      <c r="R31" s="7"/>
      <c r="S31" s="7"/>
      <c r="T31" s="7"/>
      <c r="U31" s="7">
        <f>R31*S31*T31</f>
        <v>0</v>
      </c>
      <c r="V31" s="7" t="s">
        <v>74</v>
      </c>
    </row>
    <row r="32" spans="1:22" s="88" customFormat="1" ht="18" customHeight="1" x14ac:dyDescent="0.45">
      <c r="A32" s="160" t="s">
        <v>79</v>
      </c>
      <c r="B32" s="156" t="s">
        <v>80</v>
      </c>
      <c r="C32" s="156"/>
      <c r="D32" s="155" t="s">
        <v>69</v>
      </c>
      <c r="E32" s="7" t="s">
        <v>30</v>
      </c>
      <c r="F32" s="7" t="s">
        <v>49</v>
      </c>
      <c r="G32" s="7">
        <v>3</v>
      </c>
      <c r="H32" s="155" t="s">
        <v>70</v>
      </c>
      <c r="I32" s="100"/>
      <c r="J32" s="155" t="s">
        <v>78</v>
      </c>
      <c r="K32" s="7"/>
      <c r="L32" s="7">
        <f t="shared" si="5"/>
        <v>0</v>
      </c>
      <c r="M32" s="7"/>
      <c r="N32" s="155"/>
      <c r="O32" s="98"/>
      <c r="P32" s="155"/>
      <c r="Q32" s="155"/>
      <c r="R32" s="7"/>
      <c r="S32" s="7"/>
      <c r="T32" s="7"/>
      <c r="U32" s="7">
        <v>0</v>
      </c>
      <c r="V32" s="7" t="s">
        <v>74</v>
      </c>
    </row>
    <row r="33" spans="1:22" s="88" customFormat="1" ht="18" customHeight="1" x14ac:dyDescent="0.45">
      <c r="A33" s="160"/>
      <c r="B33" s="156"/>
      <c r="C33" s="156"/>
      <c r="D33" s="155"/>
      <c r="E33" s="7" t="s">
        <v>38</v>
      </c>
      <c r="F33" s="7" t="s">
        <v>75</v>
      </c>
      <c r="G33" s="7">
        <v>3</v>
      </c>
      <c r="H33" s="155"/>
      <c r="I33" s="100">
        <v>3</v>
      </c>
      <c r="J33" s="155"/>
      <c r="K33" s="7">
        <v>7</v>
      </c>
      <c r="L33" s="7">
        <f t="shared" si="5"/>
        <v>63</v>
      </c>
      <c r="M33" s="7"/>
      <c r="N33" s="155"/>
      <c r="O33" s="98"/>
      <c r="P33" s="157"/>
      <c r="Q33" s="158"/>
      <c r="R33" s="7"/>
      <c r="S33" s="7"/>
      <c r="T33" s="7"/>
      <c r="U33" s="7"/>
      <c r="V33" s="7" t="s">
        <v>74</v>
      </c>
    </row>
    <row r="34" spans="1:22" s="88" customFormat="1" ht="32.049999999999997" customHeight="1" x14ac:dyDescent="0.45">
      <c r="A34" s="160"/>
      <c r="B34" s="156"/>
      <c r="C34" s="156"/>
      <c r="D34" s="155"/>
      <c r="E34" s="8" t="s">
        <v>40</v>
      </c>
      <c r="F34" s="7" t="s">
        <v>49</v>
      </c>
      <c r="H34" s="155"/>
      <c r="J34" s="155"/>
      <c r="N34" s="155"/>
      <c r="O34" s="98"/>
      <c r="P34" s="155"/>
      <c r="Q34" s="155"/>
      <c r="R34" s="7"/>
      <c r="S34" s="7"/>
      <c r="T34" s="7"/>
      <c r="U34" s="7">
        <v>0</v>
      </c>
      <c r="V34" s="7" t="s">
        <v>74</v>
      </c>
    </row>
    <row r="35" spans="1:22" ht="51" customHeight="1" x14ac:dyDescent="0.45">
      <c r="A35" s="165" t="s">
        <v>81</v>
      </c>
      <c r="B35" s="183" t="s">
        <v>82</v>
      </c>
      <c r="C35" s="184"/>
      <c r="D35" s="165" t="s">
        <v>83</v>
      </c>
      <c r="E35" s="7" t="s">
        <v>30</v>
      </c>
      <c r="F35" s="7" t="s">
        <v>84</v>
      </c>
      <c r="G35" s="7">
        <v>3</v>
      </c>
      <c r="H35" s="175" t="s">
        <v>85</v>
      </c>
      <c r="I35" s="100">
        <v>1</v>
      </c>
      <c r="J35" s="175" t="s">
        <v>86</v>
      </c>
      <c r="K35" s="7">
        <v>9</v>
      </c>
      <c r="L35" s="7">
        <f t="shared" ref="L35:L40" si="6">G35*I35*K35</f>
        <v>27</v>
      </c>
      <c r="M35" s="7"/>
      <c r="N35" s="98"/>
      <c r="O35" s="98"/>
      <c r="P35" s="155"/>
      <c r="Q35" s="155"/>
      <c r="R35" s="7"/>
      <c r="S35" s="7"/>
      <c r="T35" s="7"/>
      <c r="U35" s="7"/>
      <c r="V35" s="7" t="s">
        <v>87</v>
      </c>
    </row>
    <row r="36" spans="1:22" ht="51" customHeight="1" x14ac:dyDescent="0.45">
      <c r="A36" s="166"/>
      <c r="B36" s="185"/>
      <c r="C36" s="186"/>
      <c r="D36" s="166"/>
      <c r="E36" s="7" t="s">
        <v>38</v>
      </c>
      <c r="F36" s="7" t="s">
        <v>88</v>
      </c>
      <c r="G36" s="7">
        <v>3</v>
      </c>
      <c r="H36" s="176"/>
      <c r="I36" s="100">
        <v>2</v>
      </c>
      <c r="J36" s="176"/>
      <c r="K36" s="7">
        <v>9</v>
      </c>
      <c r="L36" s="7">
        <f t="shared" si="6"/>
        <v>54</v>
      </c>
      <c r="M36" s="7"/>
      <c r="N36" s="98"/>
      <c r="O36" s="98"/>
      <c r="P36" s="155"/>
      <c r="Q36" s="155"/>
      <c r="R36" s="7"/>
      <c r="S36" s="7"/>
      <c r="T36" s="7"/>
      <c r="U36" s="7"/>
      <c r="V36" s="7" t="s">
        <v>87</v>
      </c>
    </row>
    <row r="37" spans="1:22" ht="51" customHeight="1" x14ac:dyDescent="0.45">
      <c r="A37" s="167"/>
      <c r="B37" s="187"/>
      <c r="C37" s="188"/>
      <c r="D37" s="167"/>
      <c r="E37" s="7" t="s">
        <v>40</v>
      </c>
      <c r="F37" s="7" t="s">
        <v>41</v>
      </c>
      <c r="G37" s="7">
        <v>3</v>
      </c>
      <c r="H37" s="177"/>
      <c r="I37" s="100">
        <v>1</v>
      </c>
      <c r="J37" s="177"/>
      <c r="K37" s="7">
        <v>9</v>
      </c>
      <c r="L37" s="7">
        <f t="shared" si="6"/>
        <v>27</v>
      </c>
      <c r="M37" s="7"/>
      <c r="N37" s="7"/>
      <c r="O37" s="98"/>
      <c r="P37" s="155"/>
      <c r="Q37" s="155"/>
      <c r="R37" s="7"/>
      <c r="S37" s="7"/>
      <c r="T37" s="7"/>
      <c r="U37" s="7"/>
      <c r="V37" s="7" t="s">
        <v>87</v>
      </c>
    </row>
    <row r="38" spans="1:22" ht="51" customHeight="1" x14ac:dyDescent="0.45">
      <c r="A38" s="155" t="s">
        <v>89</v>
      </c>
      <c r="B38" s="183" t="s">
        <v>82</v>
      </c>
      <c r="C38" s="184"/>
      <c r="D38" s="165" t="s">
        <v>83</v>
      </c>
      <c r="E38" s="7" t="s">
        <v>30</v>
      </c>
      <c r="F38" s="7" t="s">
        <v>84</v>
      </c>
      <c r="G38" s="7">
        <v>3</v>
      </c>
      <c r="H38" s="175" t="s">
        <v>85</v>
      </c>
      <c r="I38" s="100">
        <v>1</v>
      </c>
      <c r="J38" s="175" t="s">
        <v>90</v>
      </c>
      <c r="K38" s="7">
        <v>9</v>
      </c>
      <c r="L38" s="7">
        <f t="shared" si="6"/>
        <v>27</v>
      </c>
      <c r="M38" s="7"/>
      <c r="N38" s="98"/>
      <c r="O38" s="98"/>
      <c r="P38" s="155"/>
      <c r="Q38" s="155"/>
      <c r="R38" s="7"/>
      <c r="S38" s="7"/>
      <c r="T38" s="7"/>
      <c r="U38" s="7"/>
      <c r="V38" s="7" t="s">
        <v>87</v>
      </c>
    </row>
    <row r="39" spans="1:22" ht="51" customHeight="1" x14ac:dyDescent="0.45">
      <c r="A39" s="155"/>
      <c r="B39" s="185"/>
      <c r="C39" s="186"/>
      <c r="D39" s="166"/>
      <c r="E39" s="7" t="s">
        <v>38</v>
      </c>
      <c r="F39" s="7" t="s">
        <v>88</v>
      </c>
      <c r="G39" s="7">
        <v>3</v>
      </c>
      <c r="H39" s="176"/>
      <c r="I39" s="100">
        <v>2</v>
      </c>
      <c r="J39" s="176"/>
      <c r="K39" s="7">
        <v>9</v>
      </c>
      <c r="L39" s="7">
        <f t="shared" si="6"/>
        <v>54</v>
      </c>
      <c r="M39" s="7"/>
      <c r="N39" s="98"/>
      <c r="O39" s="98"/>
      <c r="P39" s="155"/>
      <c r="Q39" s="155"/>
      <c r="R39" s="7"/>
      <c r="S39" s="7"/>
      <c r="T39" s="7"/>
      <c r="U39" s="7"/>
      <c r="V39" s="7" t="s">
        <v>87</v>
      </c>
    </row>
    <row r="40" spans="1:22" ht="51" customHeight="1" x14ac:dyDescent="0.45">
      <c r="A40" s="155"/>
      <c r="B40" s="187"/>
      <c r="C40" s="188"/>
      <c r="D40" s="167"/>
      <c r="E40" s="7" t="s">
        <v>40</v>
      </c>
      <c r="F40" s="7" t="s">
        <v>41</v>
      </c>
      <c r="G40" s="7">
        <v>3</v>
      </c>
      <c r="H40" s="177"/>
      <c r="I40" s="100">
        <v>1</v>
      </c>
      <c r="J40" s="177"/>
      <c r="K40" s="7">
        <v>9</v>
      </c>
      <c r="L40" s="7">
        <f t="shared" si="6"/>
        <v>27</v>
      </c>
      <c r="M40" s="7"/>
      <c r="N40" s="7"/>
      <c r="O40" s="98"/>
      <c r="P40" s="155"/>
      <c r="Q40" s="155"/>
      <c r="R40" s="7"/>
      <c r="S40" s="7"/>
      <c r="T40" s="7"/>
      <c r="U40" s="7"/>
      <c r="V40" s="7" t="s">
        <v>87</v>
      </c>
    </row>
    <row r="41" spans="1:22" ht="20.05" customHeight="1" x14ac:dyDescent="0.45">
      <c r="A41" s="155" t="s">
        <v>91</v>
      </c>
      <c r="B41" s="155" t="s">
        <v>92</v>
      </c>
      <c r="C41" s="155"/>
      <c r="D41" s="155" t="s">
        <v>93</v>
      </c>
      <c r="E41" s="7" t="s">
        <v>30</v>
      </c>
      <c r="F41" s="7" t="s">
        <v>84</v>
      </c>
      <c r="G41" s="7">
        <v>3</v>
      </c>
      <c r="H41" s="155" t="s">
        <v>70</v>
      </c>
      <c r="I41" s="7">
        <v>1</v>
      </c>
      <c r="J41" s="160" t="s">
        <v>94</v>
      </c>
      <c r="K41" s="7">
        <v>3</v>
      </c>
      <c r="L41" s="7">
        <f t="shared" ref="L41:L59" si="7">G41*I41*K41</f>
        <v>9</v>
      </c>
      <c r="M41" s="7"/>
      <c r="N41" s="155"/>
      <c r="O41" s="46"/>
      <c r="P41" s="155"/>
      <c r="Q41" s="155"/>
      <c r="R41" s="7"/>
      <c r="S41" s="7"/>
      <c r="T41" s="7"/>
      <c r="U41" s="7"/>
      <c r="V41" s="7" t="s">
        <v>74</v>
      </c>
    </row>
    <row r="42" spans="1:22" ht="20.05" customHeight="1" x14ac:dyDescent="0.45">
      <c r="A42" s="155"/>
      <c r="B42" s="155"/>
      <c r="C42" s="155"/>
      <c r="D42" s="155"/>
      <c r="E42" s="7" t="s">
        <v>38</v>
      </c>
      <c r="F42" s="7" t="s">
        <v>95</v>
      </c>
      <c r="G42" s="7">
        <v>3</v>
      </c>
      <c r="H42" s="155"/>
      <c r="I42" s="7">
        <v>1</v>
      </c>
      <c r="J42" s="160"/>
      <c r="K42" s="7">
        <v>8</v>
      </c>
      <c r="L42" s="7">
        <f t="shared" si="7"/>
        <v>24</v>
      </c>
      <c r="M42" s="7"/>
      <c r="N42" s="155"/>
      <c r="O42" s="46"/>
      <c r="P42" s="155"/>
      <c r="Q42" s="155"/>
      <c r="R42" s="7"/>
      <c r="S42" s="7"/>
      <c r="T42" s="7"/>
      <c r="U42" s="7"/>
      <c r="V42" s="7" t="s">
        <v>74</v>
      </c>
    </row>
    <row r="43" spans="1:22" ht="17.05" customHeight="1" x14ac:dyDescent="0.45">
      <c r="A43" s="155"/>
      <c r="B43" s="155"/>
      <c r="C43" s="155"/>
      <c r="D43" s="155"/>
      <c r="E43" s="7" t="s">
        <v>40</v>
      </c>
      <c r="F43" s="7" t="s">
        <v>41</v>
      </c>
      <c r="G43" s="7">
        <v>3</v>
      </c>
      <c r="H43" s="155"/>
      <c r="I43" s="7">
        <v>1</v>
      </c>
      <c r="J43" s="160"/>
      <c r="K43" s="7">
        <v>3</v>
      </c>
      <c r="L43" s="7">
        <f t="shared" si="7"/>
        <v>9</v>
      </c>
      <c r="M43" s="7"/>
      <c r="N43" s="155"/>
      <c r="O43" s="46"/>
      <c r="P43" s="155"/>
      <c r="Q43" s="155"/>
      <c r="R43" s="7"/>
      <c r="S43" s="7"/>
      <c r="T43" s="7"/>
      <c r="U43" s="7"/>
      <c r="V43" s="7" t="s">
        <v>74</v>
      </c>
    </row>
    <row r="44" spans="1:22" ht="24" customHeight="1" x14ac:dyDescent="0.45">
      <c r="A44" s="155" t="s">
        <v>96</v>
      </c>
      <c r="B44" s="155" t="s">
        <v>97</v>
      </c>
      <c r="C44" s="155"/>
      <c r="D44" s="155" t="s">
        <v>98</v>
      </c>
      <c r="E44" s="7" t="s">
        <v>30</v>
      </c>
      <c r="F44" s="7" t="s">
        <v>84</v>
      </c>
      <c r="G44" s="7">
        <v>3</v>
      </c>
      <c r="H44" s="155" t="s">
        <v>70</v>
      </c>
      <c r="I44" s="7">
        <v>1</v>
      </c>
      <c r="J44" s="155" t="s">
        <v>99</v>
      </c>
      <c r="K44" s="7">
        <v>7</v>
      </c>
      <c r="L44" s="7">
        <f t="shared" si="7"/>
        <v>21</v>
      </c>
      <c r="M44" s="7"/>
      <c r="N44" s="155"/>
      <c r="O44" s="46"/>
      <c r="P44" s="155"/>
      <c r="Q44" s="155"/>
      <c r="R44" s="7"/>
      <c r="S44" s="7"/>
      <c r="T44" s="7"/>
      <c r="U44" s="7"/>
      <c r="V44" s="7" t="s">
        <v>74</v>
      </c>
    </row>
    <row r="45" spans="1:22" ht="24" customHeight="1" x14ac:dyDescent="0.45">
      <c r="A45" s="155"/>
      <c r="B45" s="155"/>
      <c r="C45" s="155"/>
      <c r="D45" s="155"/>
      <c r="E45" s="7" t="s">
        <v>38</v>
      </c>
      <c r="F45" s="7" t="s">
        <v>100</v>
      </c>
      <c r="G45" s="7">
        <v>3</v>
      </c>
      <c r="H45" s="155"/>
      <c r="I45" s="7">
        <v>1</v>
      </c>
      <c r="J45" s="155"/>
      <c r="K45" s="7">
        <v>8</v>
      </c>
      <c r="L45" s="7">
        <f t="shared" si="7"/>
        <v>24</v>
      </c>
      <c r="M45" s="7"/>
      <c r="N45" s="155"/>
      <c r="O45" s="46"/>
      <c r="P45" s="155"/>
      <c r="Q45" s="155"/>
      <c r="R45" s="7"/>
      <c r="S45" s="7"/>
      <c r="T45" s="7"/>
      <c r="U45" s="7"/>
      <c r="V45" s="7" t="s">
        <v>74</v>
      </c>
    </row>
    <row r="46" spans="1:22" ht="24" customHeight="1" x14ac:dyDescent="0.45">
      <c r="A46" s="155"/>
      <c r="B46" s="155"/>
      <c r="C46" s="155"/>
      <c r="D46" s="155"/>
      <c r="E46" s="7" t="s">
        <v>40</v>
      </c>
      <c r="F46" s="7" t="s">
        <v>41</v>
      </c>
      <c r="G46" s="7">
        <v>3</v>
      </c>
      <c r="H46" s="155"/>
      <c r="I46" s="7">
        <v>1</v>
      </c>
      <c r="J46" s="155"/>
      <c r="K46" s="7">
        <v>7</v>
      </c>
      <c r="L46" s="7">
        <f t="shared" si="7"/>
        <v>21</v>
      </c>
      <c r="M46" s="7"/>
      <c r="N46" s="155"/>
      <c r="O46" s="46"/>
      <c r="P46" s="155"/>
      <c r="Q46" s="155"/>
      <c r="R46" s="7"/>
      <c r="S46" s="7"/>
      <c r="T46" s="7"/>
      <c r="U46" s="7"/>
      <c r="V46" s="7" t="s">
        <v>74</v>
      </c>
    </row>
    <row r="47" spans="1:22" ht="52" customHeight="1" x14ac:dyDescent="0.45">
      <c r="A47" s="155" t="s">
        <v>101</v>
      </c>
      <c r="B47" s="155" t="s">
        <v>82</v>
      </c>
      <c r="C47" s="155"/>
      <c r="D47" s="155" t="s">
        <v>102</v>
      </c>
      <c r="E47" s="7" t="s">
        <v>30</v>
      </c>
      <c r="F47" s="7" t="s">
        <v>84</v>
      </c>
      <c r="G47" s="7">
        <v>3</v>
      </c>
      <c r="H47" s="155" t="s">
        <v>70</v>
      </c>
      <c r="I47" s="7">
        <v>1</v>
      </c>
      <c r="J47" s="160" t="s">
        <v>103</v>
      </c>
      <c r="K47" s="7">
        <v>9</v>
      </c>
      <c r="L47" s="7">
        <f t="shared" si="7"/>
        <v>27</v>
      </c>
      <c r="M47" s="7"/>
      <c r="N47" s="155"/>
      <c r="O47" s="46"/>
      <c r="P47" s="155"/>
      <c r="Q47" s="155"/>
      <c r="R47" s="7"/>
      <c r="S47" s="7"/>
      <c r="T47" s="7"/>
      <c r="U47" s="7"/>
      <c r="V47" s="7" t="s">
        <v>87</v>
      </c>
    </row>
    <row r="48" spans="1:22" ht="52" customHeight="1" x14ac:dyDescent="0.45">
      <c r="A48" s="155"/>
      <c r="B48" s="155"/>
      <c r="C48" s="155"/>
      <c r="D48" s="155"/>
      <c r="E48" s="7" t="s">
        <v>38</v>
      </c>
      <c r="F48" s="7" t="s">
        <v>104</v>
      </c>
      <c r="G48" s="7">
        <v>3</v>
      </c>
      <c r="H48" s="155"/>
      <c r="I48" s="7">
        <v>3</v>
      </c>
      <c r="J48" s="160"/>
      <c r="K48" s="7">
        <v>9</v>
      </c>
      <c r="L48" s="7">
        <f t="shared" si="7"/>
        <v>81</v>
      </c>
      <c r="M48" s="7"/>
      <c r="N48" s="155"/>
      <c r="O48" s="46"/>
      <c r="P48" s="155"/>
      <c r="Q48" s="155"/>
      <c r="R48" s="7"/>
      <c r="S48" s="7"/>
      <c r="T48" s="7"/>
      <c r="U48" s="7"/>
      <c r="V48" s="7" t="s">
        <v>87</v>
      </c>
    </row>
    <row r="49" spans="1:22" ht="52" customHeight="1" x14ac:dyDescent="0.45">
      <c r="A49" s="155"/>
      <c r="B49" s="155"/>
      <c r="C49" s="155"/>
      <c r="D49" s="155"/>
      <c r="E49" s="7" t="s">
        <v>40</v>
      </c>
      <c r="F49" s="7" t="s">
        <v>41</v>
      </c>
      <c r="G49" s="7">
        <v>3</v>
      </c>
      <c r="H49" s="155"/>
      <c r="I49" s="7">
        <v>1</v>
      </c>
      <c r="J49" s="160"/>
      <c r="K49" s="7">
        <v>9</v>
      </c>
      <c r="L49" s="7">
        <f t="shared" si="7"/>
        <v>27</v>
      </c>
      <c r="M49" s="7"/>
      <c r="N49" s="155"/>
      <c r="O49" s="46"/>
      <c r="P49" s="155"/>
      <c r="Q49" s="155"/>
      <c r="R49" s="7"/>
      <c r="S49" s="7"/>
      <c r="T49" s="7"/>
      <c r="U49" s="7"/>
      <c r="V49" s="7" t="s">
        <v>87</v>
      </c>
    </row>
    <row r="50" spans="1:22" ht="39" customHeight="1" x14ac:dyDescent="0.45">
      <c r="A50" s="155" t="s">
        <v>105</v>
      </c>
      <c r="B50" s="155" t="s">
        <v>106</v>
      </c>
      <c r="C50" s="155"/>
      <c r="D50" s="155" t="s">
        <v>107</v>
      </c>
      <c r="E50" s="7" t="s">
        <v>30</v>
      </c>
      <c r="F50" s="7" t="s">
        <v>84</v>
      </c>
      <c r="G50" s="7">
        <v>3</v>
      </c>
      <c r="H50" s="155" t="s">
        <v>70</v>
      </c>
      <c r="I50" s="7">
        <v>1</v>
      </c>
      <c r="J50" s="160" t="s">
        <v>108</v>
      </c>
      <c r="K50" s="7">
        <v>8</v>
      </c>
      <c r="L50" s="7">
        <f t="shared" si="7"/>
        <v>24</v>
      </c>
      <c r="M50" s="7"/>
      <c r="N50" s="155"/>
      <c r="O50" s="46"/>
      <c r="P50" s="155"/>
      <c r="Q50" s="155"/>
      <c r="R50" s="98"/>
      <c r="S50" s="98"/>
      <c r="T50" s="98"/>
      <c r="U50" s="98"/>
      <c r="V50" s="98" t="s">
        <v>74</v>
      </c>
    </row>
    <row r="51" spans="1:22" ht="39" customHeight="1" x14ac:dyDescent="0.45">
      <c r="A51" s="155"/>
      <c r="B51" s="155"/>
      <c r="C51" s="155"/>
      <c r="D51" s="155"/>
      <c r="E51" s="7" t="s">
        <v>38</v>
      </c>
      <c r="F51" s="7" t="s">
        <v>109</v>
      </c>
      <c r="G51" s="7">
        <v>3</v>
      </c>
      <c r="H51" s="155"/>
      <c r="I51" s="7">
        <v>3</v>
      </c>
      <c r="J51" s="160"/>
      <c r="K51" s="7">
        <v>8</v>
      </c>
      <c r="L51" s="7">
        <f t="shared" si="7"/>
        <v>72</v>
      </c>
      <c r="M51" s="7"/>
      <c r="N51" s="155"/>
      <c r="O51" s="46"/>
      <c r="P51" s="155"/>
      <c r="Q51" s="155"/>
      <c r="R51" s="98"/>
      <c r="S51" s="98"/>
      <c r="T51" s="98"/>
      <c r="U51" s="98"/>
      <c r="V51" s="98" t="s">
        <v>74</v>
      </c>
    </row>
    <row r="52" spans="1:22" ht="39" customHeight="1" x14ac:dyDescent="0.45">
      <c r="A52" s="155"/>
      <c r="B52" s="155"/>
      <c r="C52" s="155"/>
      <c r="D52" s="155"/>
      <c r="E52" s="7" t="s">
        <v>40</v>
      </c>
      <c r="F52" s="7" t="s">
        <v>41</v>
      </c>
      <c r="G52" s="7">
        <v>3</v>
      </c>
      <c r="H52" s="155"/>
      <c r="I52" s="7">
        <v>1</v>
      </c>
      <c r="J52" s="160"/>
      <c r="K52" s="7">
        <v>8</v>
      </c>
      <c r="L52" s="7">
        <f t="shared" si="7"/>
        <v>24</v>
      </c>
      <c r="M52" s="7"/>
      <c r="N52" s="155"/>
      <c r="O52" s="46"/>
      <c r="P52" s="155"/>
      <c r="Q52" s="155"/>
      <c r="R52" s="98"/>
      <c r="S52" s="98"/>
      <c r="T52" s="98"/>
      <c r="U52" s="98"/>
      <c r="V52" s="98" t="s">
        <v>74</v>
      </c>
    </row>
    <row r="53" spans="1:22" ht="71.05" customHeight="1" x14ac:dyDescent="0.45">
      <c r="A53" s="204" t="s">
        <v>110</v>
      </c>
      <c r="B53" s="204" t="s">
        <v>111</v>
      </c>
      <c r="C53" s="204"/>
      <c r="D53" s="204" t="s">
        <v>112</v>
      </c>
      <c r="E53" s="7" t="s">
        <v>30</v>
      </c>
      <c r="F53" s="7" t="s">
        <v>113</v>
      </c>
      <c r="G53" s="7">
        <v>3</v>
      </c>
      <c r="H53" s="160" t="s">
        <v>114</v>
      </c>
      <c r="I53" s="7">
        <v>1</v>
      </c>
      <c r="J53" s="160" t="s">
        <v>115</v>
      </c>
      <c r="K53" s="7">
        <v>3</v>
      </c>
      <c r="L53" s="7">
        <f t="shared" si="7"/>
        <v>9</v>
      </c>
      <c r="M53" s="99"/>
      <c r="N53" s="99"/>
      <c r="O53" s="98" t="s">
        <v>116</v>
      </c>
      <c r="P53" s="155"/>
      <c r="Q53" s="155"/>
      <c r="R53" s="7"/>
      <c r="S53" s="7"/>
      <c r="T53" s="7"/>
      <c r="U53" s="7"/>
      <c r="V53" s="7" t="s">
        <v>37</v>
      </c>
    </row>
    <row r="54" spans="1:22" ht="71.05" customHeight="1" x14ac:dyDescent="0.45">
      <c r="A54" s="204"/>
      <c r="B54" s="204"/>
      <c r="C54" s="204"/>
      <c r="D54" s="204"/>
      <c r="E54" s="7" t="s">
        <v>38</v>
      </c>
      <c r="F54" s="7" t="s">
        <v>117</v>
      </c>
      <c r="G54" s="7">
        <v>3</v>
      </c>
      <c r="H54" s="160"/>
      <c r="I54" s="7">
        <v>4</v>
      </c>
      <c r="J54" s="160"/>
      <c r="K54" s="7">
        <v>3</v>
      </c>
      <c r="L54" s="7">
        <f t="shared" si="7"/>
        <v>36</v>
      </c>
      <c r="M54" s="99"/>
      <c r="N54" s="99"/>
      <c r="O54" s="98"/>
      <c r="P54" s="155"/>
      <c r="Q54" s="155"/>
      <c r="R54" s="7"/>
      <c r="S54" s="7"/>
      <c r="T54" s="7"/>
      <c r="U54" s="7"/>
      <c r="V54" s="7" t="s">
        <v>37</v>
      </c>
    </row>
    <row r="55" spans="1:22" ht="71.05" customHeight="1" x14ac:dyDescent="0.45">
      <c r="A55" s="204"/>
      <c r="B55" s="204"/>
      <c r="C55" s="204"/>
      <c r="D55" s="204"/>
      <c r="E55" s="7" t="s">
        <v>40</v>
      </c>
      <c r="F55" s="7" t="s">
        <v>41</v>
      </c>
      <c r="G55" s="7">
        <v>3</v>
      </c>
      <c r="H55" s="160"/>
      <c r="I55" s="7">
        <v>2</v>
      </c>
      <c r="J55" s="160"/>
      <c r="K55" s="7">
        <v>3</v>
      </c>
      <c r="L55" s="7">
        <f t="shared" si="7"/>
        <v>18</v>
      </c>
      <c r="M55" s="99"/>
      <c r="N55" s="99"/>
      <c r="O55" s="98"/>
      <c r="P55" s="155"/>
      <c r="Q55" s="155"/>
      <c r="R55" s="7"/>
      <c r="S55" s="7"/>
      <c r="T55" s="7"/>
      <c r="U55" s="7"/>
      <c r="V55" s="7" t="s">
        <v>37</v>
      </c>
    </row>
    <row r="56" spans="1:22" ht="36" customHeight="1" x14ac:dyDescent="0.45">
      <c r="A56" s="204" t="s">
        <v>118</v>
      </c>
      <c r="B56" s="204" t="s">
        <v>119</v>
      </c>
      <c r="C56" s="204"/>
      <c r="D56" s="204" t="s">
        <v>119</v>
      </c>
      <c r="E56" s="7" t="s">
        <v>30</v>
      </c>
      <c r="F56" s="7" t="s">
        <v>120</v>
      </c>
      <c r="G56" s="7">
        <v>3</v>
      </c>
      <c r="H56" s="175" t="s">
        <v>121</v>
      </c>
      <c r="I56" s="7">
        <v>1</v>
      </c>
      <c r="J56" s="165" t="s">
        <v>122</v>
      </c>
      <c r="K56" s="7">
        <v>5</v>
      </c>
      <c r="L56" s="7">
        <f t="shared" si="7"/>
        <v>15</v>
      </c>
      <c r="M56" s="99"/>
      <c r="N56" s="99"/>
      <c r="O56" s="98"/>
      <c r="P56" s="155"/>
      <c r="Q56" s="155"/>
      <c r="R56" s="7"/>
      <c r="S56" s="7"/>
      <c r="T56" s="7"/>
      <c r="U56" s="7"/>
      <c r="V56" s="7" t="s">
        <v>37</v>
      </c>
    </row>
    <row r="57" spans="1:22" ht="36" customHeight="1" x14ac:dyDescent="0.45">
      <c r="A57" s="204"/>
      <c r="B57" s="204"/>
      <c r="C57" s="204"/>
      <c r="D57" s="204"/>
      <c r="E57" s="7" t="s">
        <v>38</v>
      </c>
      <c r="F57" s="7" t="s">
        <v>123</v>
      </c>
      <c r="G57" s="7">
        <v>3</v>
      </c>
      <c r="H57" s="176"/>
      <c r="I57" s="7">
        <v>4</v>
      </c>
      <c r="J57" s="166"/>
      <c r="K57" s="7">
        <v>5</v>
      </c>
      <c r="L57" s="7">
        <f t="shared" si="7"/>
        <v>60</v>
      </c>
      <c r="M57" s="99"/>
      <c r="N57" s="99"/>
      <c r="O57" s="98"/>
      <c r="P57" s="155"/>
      <c r="Q57" s="155"/>
      <c r="R57" s="7"/>
      <c r="S57" s="7"/>
      <c r="T57" s="7"/>
      <c r="U57" s="7"/>
      <c r="V57" s="7" t="s">
        <v>37</v>
      </c>
    </row>
    <row r="58" spans="1:22" ht="60" customHeight="1" x14ac:dyDescent="0.45">
      <c r="A58" s="204"/>
      <c r="B58" s="204"/>
      <c r="C58" s="204"/>
      <c r="D58" s="204"/>
      <c r="E58" s="4" t="s">
        <v>40</v>
      </c>
      <c r="F58" s="7" t="s">
        <v>41</v>
      </c>
      <c r="G58" s="7">
        <v>3</v>
      </c>
      <c r="H58" s="177"/>
      <c r="I58" s="7">
        <v>1</v>
      </c>
      <c r="J58" s="167"/>
      <c r="K58" s="7">
        <v>5</v>
      </c>
      <c r="L58" s="7">
        <f t="shared" si="7"/>
        <v>15</v>
      </c>
      <c r="M58" s="99"/>
      <c r="N58" s="125"/>
      <c r="O58" s="98"/>
      <c r="P58" s="155"/>
      <c r="Q58" s="155"/>
      <c r="R58" s="93"/>
      <c r="S58" s="93"/>
      <c r="T58" s="93"/>
      <c r="U58" s="93"/>
      <c r="V58" s="7" t="s">
        <v>37</v>
      </c>
    </row>
    <row r="59" spans="1:22" ht="39" customHeight="1" x14ac:dyDescent="0.45">
      <c r="A59" s="155" t="s">
        <v>124</v>
      </c>
      <c r="B59" s="155" t="s">
        <v>125</v>
      </c>
      <c r="C59" s="155"/>
      <c r="D59" s="184" t="s">
        <v>126</v>
      </c>
      <c r="E59" s="99" t="s">
        <v>30</v>
      </c>
      <c r="F59" s="7" t="s">
        <v>127</v>
      </c>
      <c r="G59" s="7">
        <v>1</v>
      </c>
      <c r="H59" s="175" t="s">
        <v>128</v>
      </c>
      <c r="I59" s="7">
        <v>1</v>
      </c>
      <c r="J59" s="175" t="s">
        <v>129</v>
      </c>
      <c r="K59" s="7">
        <v>8</v>
      </c>
      <c r="L59" s="7">
        <f t="shared" si="7"/>
        <v>8</v>
      </c>
      <c r="M59" s="99"/>
      <c r="N59" s="99"/>
      <c r="O59" s="98"/>
      <c r="P59" s="155"/>
      <c r="Q59" s="155"/>
      <c r="R59" s="93"/>
      <c r="S59" s="93"/>
      <c r="T59" s="93"/>
      <c r="U59" s="93"/>
      <c r="V59" s="93" t="s">
        <v>74</v>
      </c>
    </row>
    <row r="60" spans="1:22" ht="39" customHeight="1" x14ac:dyDescent="0.45">
      <c r="A60" s="155"/>
      <c r="B60" s="155"/>
      <c r="C60" s="155"/>
      <c r="D60" s="186"/>
      <c r="E60" s="99" t="s">
        <v>38</v>
      </c>
      <c r="F60" s="7" t="s">
        <v>130</v>
      </c>
      <c r="G60" s="7">
        <v>1</v>
      </c>
      <c r="H60" s="176"/>
      <c r="I60" s="7">
        <v>2</v>
      </c>
      <c r="J60" s="176"/>
      <c r="K60" s="7">
        <v>8</v>
      </c>
      <c r="L60" s="7">
        <f t="shared" ref="L60:L69" si="8">G60*I60*K60</f>
        <v>16</v>
      </c>
      <c r="M60" s="99"/>
      <c r="N60" s="99"/>
      <c r="O60" s="98"/>
      <c r="P60" s="155"/>
      <c r="Q60" s="155"/>
      <c r="R60" s="93"/>
      <c r="S60" s="93"/>
      <c r="T60" s="93"/>
      <c r="U60" s="93"/>
      <c r="V60" s="93" t="s">
        <v>74</v>
      </c>
    </row>
    <row r="61" spans="1:22" ht="39" customHeight="1" x14ac:dyDescent="0.45">
      <c r="A61" s="155"/>
      <c r="B61" s="155"/>
      <c r="C61" s="155"/>
      <c r="D61" s="188"/>
      <c r="E61" s="99" t="s">
        <v>40</v>
      </c>
      <c r="F61" s="7" t="s">
        <v>41</v>
      </c>
      <c r="G61" s="7">
        <v>1</v>
      </c>
      <c r="H61" s="177"/>
      <c r="I61" s="7">
        <v>1</v>
      </c>
      <c r="J61" s="176"/>
      <c r="K61" s="7">
        <v>8</v>
      </c>
      <c r="L61" s="7">
        <f t="shared" si="8"/>
        <v>8</v>
      </c>
      <c r="M61" s="99"/>
      <c r="N61" s="99"/>
      <c r="O61" s="98"/>
      <c r="P61" s="155"/>
      <c r="Q61" s="155"/>
      <c r="R61" s="93"/>
      <c r="S61" s="93"/>
      <c r="T61" s="93"/>
      <c r="U61" s="93"/>
      <c r="V61" s="93" t="s">
        <v>74</v>
      </c>
    </row>
    <row r="62" spans="1:22" ht="20.05" customHeight="1" x14ac:dyDescent="0.45">
      <c r="A62" s="155" t="s">
        <v>131</v>
      </c>
      <c r="B62" s="155" t="s">
        <v>132</v>
      </c>
      <c r="C62" s="155"/>
      <c r="D62" s="155" t="s">
        <v>133</v>
      </c>
      <c r="E62" s="7" t="s">
        <v>30</v>
      </c>
      <c r="F62" s="7" t="s">
        <v>130</v>
      </c>
      <c r="G62" s="7">
        <v>1</v>
      </c>
      <c r="H62" s="155" t="s">
        <v>70</v>
      </c>
      <c r="I62" s="7">
        <v>1</v>
      </c>
      <c r="J62" s="160" t="s">
        <v>134</v>
      </c>
      <c r="K62" s="7">
        <v>7</v>
      </c>
      <c r="L62" s="7">
        <f t="shared" si="8"/>
        <v>7</v>
      </c>
      <c r="M62" s="7"/>
      <c r="N62" s="7"/>
      <c r="O62" s="93"/>
      <c r="P62" s="188"/>
      <c r="Q62" s="167"/>
      <c r="R62" s="126"/>
      <c r="S62" s="126"/>
      <c r="T62" s="126"/>
      <c r="U62" s="126"/>
      <c r="V62" s="93" t="s">
        <v>74</v>
      </c>
    </row>
    <row r="63" spans="1:22" ht="20.05" customHeight="1" x14ac:dyDescent="0.45">
      <c r="A63" s="155"/>
      <c r="B63" s="155"/>
      <c r="C63" s="155"/>
      <c r="D63" s="155"/>
      <c r="E63" s="7" t="s">
        <v>38</v>
      </c>
      <c r="F63" s="7" t="s">
        <v>135</v>
      </c>
      <c r="G63" s="7">
        <v>1</v>
      </c>
      <c r="H63" s="155"/>
      <c r="I63" s="7">
        <v>2</v>
      </c>
      <c r="J63" s="160"/>
      <c r="K63" s="7">
        <v>7</v>
      </c>
      <c r="L63" s="7">
        <f t="shared" si="8"/>
        <v>14</v>
      </c>
      <c r="M63" s="7"/>
      <c r="N63" s="7"/>
      <c r="O63" s="93"/>
      <c r="P63" s="188"/>
      <c r="Q63" s="167"/>
      <c r="R63" s="126"/>
      <c r="S63" s="126"/>
      <c r="T63" s="126"/>
      <c r="U63" s="126"/>
      <c r="V63" s="93" t="s">
        <v>74</v>
      </c>
    </row>
    <row r="64" spans="1:22" ht="20.05" customHeight="1" x14ac:dyDescent="0.45">
      <c r="A64" s="155"/>
      <c r="B64" s="155"/>
      <c r="C64" s="155"/>
      <c r="D64" s="155"/>
      <c r="E64" s="4" t="s">
        <v>40</v>
      </c>
      <c r="F64" s="4" t="s">
        <v>127</v>
      </c>
      <c r="G64" s="7">
        <v>1</v>
      </c>
      <c r="H64" s="155"/>
      <c r="I64" s="7">
        <v>1</v>
      </c>
      <c r="J64" s="160"/>
      <c r="K64" s="7">
        <v>7</v>
      </c>
      <c r="L64" s="7">
        <f t="shared" si="8"/>
        <v>7</v>
      </c>
      <c r="M64" s="7"/>
      <c r="N64" s="93"/>
      <c r="O64" s="126"/>
      <c r="P64" s="188"/>
      <c r="Q64" s="167"/>
      <c r="R64" s="126"/>
      <c r="S64" s="126"/>
      <c r="T64" s="126"/>
      <c r="U64" s="126"/>
      <c r="V64" s="93" t="s">
        <v>74</v>
      </c>
    </row>
    <row r="65" spans="1:22" ht="36" customHeight="1" x14ac:dyDescent="0.45">
      <c r="A65" s="155" t="s">
        <v>136</v>
      </c>
      <c r="B65" s="155" t="s">
        <v>125</v>
      </c>
      <c r="C65" s="155"/>
      <c r="D65" s="184" t="s">
        <v>126</v>
      </c>
      <c r="E65" s="99" t="s">
        <v>30</v>
      </c>
      <c r="F65" s="7" t="s">
        <v>127</v>
      </c>
      <c r="G65" s="7">
        <v>1</v>
      </c>
      <c r="H65" s="175" t="s">
        <v>128</v>
      </c>
      <c r="I65" s="7">
        <v>1</v>
      </c>
      <c r="J65" s="175" t="s">
        <v>137</v>
      </c>
      <c r="K65" s="7">
        <v>8</v>
      </c>
      <c r="L65" s="7">
        <f t="shared" si="8"/>
        <v>8</v>
      </c>
      <c r="M65" s="99"/>
      <c r="N65" s="99"/>
      <c r="O65" s="93" t="s">
        <v>116</v>
      </c>
      <c r="P65" s="188"/>
      <c r="Q65" s="167"/>
      <c r="R65" s="126"/>
      <c r="S65" s="126"/>
      <c r="T65" s="126"/>
      <c r="U65" s="126"/>
      <c r="V65" s="93" t="s">
        <v>74</v>
      </c>
    </row>
    <row r="66" spans="1:22" ht="36" customHeight="1" x14ac:dyDescent="0.45">
      <c r="A66" s="155"/>
      <c r="B66" s="155"/>
      <c r="C66" s="155"/>
      <c r="D66" s="186"/>
      <c r="E66" s="99" t="s">
        <v>38</v>
      </c>
      <c r="F66" s="7" t="s">
        <v>130</v>
      </c>
      <c r="G66" s="7">
        <v>1</v>
      </c>
      <c r="H66" s="176"/>
      <c r="I66" s="7">
        <v>2</v>
      </c>
      <c r="J66" s="176"/>
      <c r="K66" s="7">
        <v>8</v>
      </c>
      <c r="L66" s="7">
        <f t="shared" si="8"/>
        <v>16</v>
      </c>
      <c r="M66" s="99"/>
      <c r="N66" s="99"/>
      <c r="O66" s="93"/>
      <c r="P66" s="188"/>
      <c r="Q66" s="167"/>
      <c r="R66" s="126"/>
      <c r="S66" s="126"/>
      <c r="T66" s="126"/>
      <c r="U66" s="126"/>
      <c r="V66" s="93" t="s">
        <v>74</v>
      </c>
    </row>
    <row r="67" spans="1:22" ht="36" customHeight="1" x14ac:dyDescent="0.45">
      <c r="A67" s="155"/>
      <c r="B67" s="155"/>
      <c r="C67" s="155"/>
      <c r="D67" s="188"/>
      <c r="E67" s="99" t="s">
        <v>40</v>
      </c>
      <c r="F67" s="7" t="s">
        <v>41</v>
      </c>
      <c r="G67" s="7">
        <v>1</v>
      </c>
      <c r="H67" s="177"/>
      <c r="I67" s="7">
        <v>1</v>
      </c>
      <c r="J67" s="176"/>
      <c r="K67" s="7">
        <v>8</v>
      </c>
      <c r="L67" s="7">
        <f t="shared" si="8"/>
        <v>8</v>
      </c>
      <c r="M67" s="99"/>
      <c r="N67" s="99"/>
      <c r="O67" s="93"/>
      <c r="P67" s="188"/>
      <c r="Q67" s="167"/>
      <c r="R67" s="126"/>
      <c r="S67" s="126"/>
      <c r="T67" s="126"/>
      <c r="U67" s="126"/>
      <c r="V67" s="93" t="s">
        <v>74</v>
      </c>
    </row>
    <row r="68" spans="1:22" s="117" customFormat="1" ht="20.05" customHeight="1" x14ac:dyDescent="0.45">
      <c r="A68" s="205" t="s">
        <v>138</v>
      </c>
      <c r="B68" s="205" t="s">
        <v>139</v>
      </c>
      <c r="C68" s="205"/>
      <c r="D68" s="205" t="s">
        <v>140</v>
      </c>
      <c r="E68" s="121" t="s">
        <v>30</v>
      </c>
      <c r="F68" s="121" t="s">
        <v>130</v>
      </c>
      <c r="G68" s="121">
        <v>1</v>
      </c>
      <c r="H68" s="205" t="s">
        <v>141</v>
      </c>
      <c r="I68" s="121">
        <v>1</v>
      </c>
      <c r="J68" s="216" t="s">
        <v>142</v>
      </c>
      <c r="K68" s="121">
        <v>8</v>
      </c>
      <c r="L68" s="121">
        <f t="shared" si="8"/>
        <v>8</v>
      </c>
      <c r="M68" s="127"/>
      <c r="N68" s="229"/>
      <c r="O68" s="128"/>
      <c r="P68" s="197"/>
      <c r="Q68" s="198"/>
      <c r="R68" s="129"/>
      <c r="S68" s="129"/>
      <c r="T68" s="129"/>
      <c r="U68" s="129"/>
      <c r="V68" s="128" t="s">
        <v>74</v>
      </c>
    </row>
    <row r="69" spans="1:22" s="117" customFormat="1" ht="20.05" customHeight="1" x14ac:dyDescent="0.45">
      <c r="A69" s="205"/>
      <c r="B69" s="205"/>
      <c r="C69" s="205"/>
      <c r="D69" s="205"/>
      <c r="E69" s="121" t="s">
        <v>38</v>
      </c>
      <c r="F69" s="121" t="s">
        <v>143</v>
      </c>
      <c r="G69" s="121">
        <v>1</v>
      </c>
      <c r="H69" s="205"/>
      <c r="I69" s="121">
        <v>4</v>
      </c>
      <c r="J69" s="216"/>
      <c r="K69" s="121">
        <v>8</v>
      </c>
      <c r="L69" s="121">
        <f t="shared" si="8"/>
        <v>32</v>
      </c>
      <c r="M69" s="127"/>
      <c r="N69" s="229"/>
      <c r="O69" s="128"/>
      <c r="P69" s="197"/>
      <c r="Q69" s="198"/>
      <c r="R69" s="129"/>
      <c r="S69" s="129"/>
      <c r="T69" s="129"/>
      <c r="U69" s="129"/>
      <c r="V69" s="128" t="s">
        <v>74</v>
      </c>
    </row>
    <row r="70" spans="1:22" s="117" customFormat="1" ht="20.05" customHeight="1" x14ac:dyDescent="0.45">
      <c r="A70" s="205"/>
      <c r="B70" s="205"/>
      <c r="C70" s="205"/>
      <c r="D70" s="205"/>
      <c r="E70" s="130" t="s">
        <v>40</v>
      </c>
      <c r="F70" s="121" t="s">
        <v>41</v>
      </c>
      <c r="G70" s="121">
        <v>1</v>
      </c>
      <c r="H70" s="205"/>
      <c r="I70" s="121">
        <v>1</v>
      </c>
      <c r="J70" s="216"/>
      <c r="K70" s="121">
        <v>8</v>
      </c>
      <c r="L70" s="121">
        <f t="shared" ref="L70:L76" si="9">G70*I70*K70</f>
        <v>8</v>
      </c>
      <c r="M70" s="127"/>
      <c r="N70" s="229"/>
      <c r="O70" s="128"/>
      <c r="P70" s="197"/>
      <c r="Q70" s="198"/>
      <c r="R70" s="129"/>
      <c r="S70" s="129"/>
      <c r="T70" s="129"/>
      <c r="U70" s="129"/>
      <c r="V70" s="128" t="s">
        <v>74</v>
      </c>
    </row>
    <row r="71" spans="1:22" ht="68.05" customHeight="1" x14ac:dyDescent="0.45">
      <c r="A71" s="155" t="s">
        <v>144</v>
      </c>
      <c r="B71" s="155" t="s">
        <v>145</v>
      </c>
      <c r="C71" s="155"/>
      <c r="D71" s="155" t="s">
        <v>146</v>
      </c>
      <c r="E71" s="7" t="s">
        <v>30</v>
      </c>
      <c r="F71" s="7" t="s">
        <v>130</v>
      </c>
      <c r="G71" s="7">
        <v>1</v>
      </c>
      <c r="H71" s="155" t="s">
        <v>141</v>
      </c>
      <c r="I71" s="7">
        <v>1</v>
      </c>
      <c r="J71" s="155" t="s">
        <v>147</v>
      </c>
      <c r="K71" s="7">
        <v>8</v>
      </c>
      <c r="L71" s="7">
        <f t="shared" si="9"/>
        <v>8</v>
      </c>
      <c r="M71" s="99"/>
      <c r="N71" s="157"/>
      <c r="O71" s="93"/>
      <c r="P71" s="188"/>
      <c r="Q71" s="167"/>
      <c r="R71" s="126"/>
      <c r="S71" s="126"/>
      <c r="T71" s="126"/>
      <c r="U71" s="126"/>
      <c r="V71" s="93" t="s">
        <v>74</v>
      </c>
    </row>
    <row r="72" spans="1:22" ht="68.05" customHeight="1" x14ac:dyDescent="0.45">
      <c r="A72" s="155"/>
      <c r="B72" s="155"/>
      <c r="C72" s="155"/>
      <c r="D72" s="155"/>
      <c r="E72" s="7" t="s">
        <v>38</v>
      </c>
      <c r="F72" s="7" t="s">
        <v>143</v>
      </c>
      <c r="G72" s="7">
        <v>1</v>
      </c>
      <c r="H72" s="155"/>
      <c r="I72" s="7">
        <v>4</v>
      </c>
      <c r="J72" s="155"/>
      <c r="K72" s="7">
        <v>8</v>
      </c>
      <c r="L72" s="7">
        <f t="shared" si="9"/>
        <v>32</v>
      </c>
      <c r="M72" s="99"/>
      <c r="N72" s="157"/>
      <c r="O72" s="93"/>
      <c r="P72" s="188"/>
      <c r="Q72" s="167"/>
      <c r="R72" s="126"/>
      <c r="S72" s="126"/>
      <c r="T72" s="126"/>
      <c r="U72" s="126"/>
      <c r="V72" s="93" t="s">
        <v>74</v>
      </c>
    </row>
    <row r="73" spans="1:22" ht="68.05" customHeight="1" x14ac:dyDescent="0.45">
      <c r="A73" s="155"/>
      <c r="B73" s="155"/>
      <c r="C73" s="155"/>
      <c r="D73" s="155"/>
      <c r="E73" s="4" t="s">
        <v>40</v>
      </c>
      <c r="F73" s="7" t="s">
        <v>41</v>
      </c>
      <c r="G73" s="7">
        <v>1</v>
      </c>
      <c r="H73" s="155"/>
      <c r="I73" s="7">
        <v>1</v>
      </c>
      <c r="J73" s="155"/>
      <c r="K73" s="7">
        <v>8</v>
      </c>
      <c r="L73" s="7">
        <f t="shared" si="9"/>
        <v>8</v>
      </c>
      <c r="M73" s="99"/>
      <c r="N73" s="157"/>
      <c r="O73" s="93"/>
      <c r="P73" s="188"/>
      <c r="Q73" s="167"/>
      <c r="R73" s="126"/>
      <c r="S73" s="126"/>
      <c r="T73" s="126"/>
      <c r="U73" s="126"/>
      <c r="V73" s="93" t="s">
        <v>74</v>
      </c>
    </row>
    <row r="74" spans="1:22" ht="30" customHeight="1" x14ac:dyDescent="0.45">
      <c r="A74" s="155" t="s">
        <v>148</v>
      </c>
      <c r="B74" s="155" t="s">
        <v>149</v>
      </c>
      <c r="C74" s="155"/>
      <c r="D74" s="155" t="s">
        <v>150</v>
      </c>
      <c r="E74" s="7" t="s">
        <v>30</v>
      </c>
      <c r="F74" s="7" t="s">
        <v>151</v>
      </c>
      <c r="G74" s="7">
        <v>1</v>
      </c>
      <c r="H74" s="165" t="s">
        <v>152</v>
      </c>
      <c r="I74" s="7">
        <v>1</v>
      </c>
      <c r="J74" s="175" t="s">
        <v>153</v>
      </c>
      <c r="K74" s="7">
        <v>8</v>
      </c>
      <c r="L74" s="7">
        <f t="shared" si="9"/>
        <v>8</v>
      </c>
      <c r="M74" s="101"/>
      <c r="N74" s="165"/>
      <c r="O74" s="154" t="s">
        <v>116</v>
      </c>
      <c r="P74" s="188"/>
      <c r="Q74" s="167"/>
      <c r="R74" s="126"/>
      <c r="S74" s="126"/>
      <c r="T74" s="126"/>
      <c r="U74" s="126"/>
      <c r="V74" s="93" t="s">
        <v>74</v>
      </c>
    </row>
    <row r="75" spans="1:22" ht="30" customHeight="1" x14ac:dyDescent="0.45">
      <c r="A75" s="155"/>
      <c r="B75" s="155"/>
      <c r="C75" s="155"/>
      <c r="D75" s="155"/>
      <c r="E75" s="7" t="s">
        <v>38</v>
      </c>
      <c r="F75" s="7" t="s">
        <v>151</v>
      </c>
      <c r="G75" s="7">
        <v>1</v>
      </c>
      <c r="H75" s="166"/>
      <c r="I75" s="7">
        <v>4</v>
      </c>
      <c r="J75" s="176"/>
      <c r="K75" s="7">
        <v>8</v>
      </c>
      <c r="L75" s="7">
        <f t="shared" si="9"/>
        <v>32</v>
      </c>
      <c r="M75" s="104"/>
      <c r="N75" s="166"/>
      <c r="O75" s="154"/>
      <c r="P75" s="188"/>
      <c r="Q75" s="167"/>
      <c r="R75" s="126"/>
      <c r="S75" s="126"/>
      <c r="T75" s="126"/>
      <c r="U75" s="126"/>
      <c r="V75" s="93" t="s">
        <v>74</v>
      </c>
    </row>
    <row r="76" spans="1:22" ht="30" customHeight="1" x14ac:dyDescent="0.45">
      <c r="A76" s="155"/>
      <c r="B76" s="155"/>
      <c r="C76" s="155"/>
      <c r="D76" s="155"/>
      <c r="E76" s="7" t="s">
        <v>40</v>
      </c>
      <c r="F76" s="7" t="s">
        <v>41</v>
      </c>
      <c r="G76" s="7">
        <v>1</v>
      </c>
      <c r="H76" s="167"/>
      <c r="I76" s="7">
        <v>1</v>
      </c>
      <c r="J76" s="176"/>
      <c r="K76" s="7">
        <v>8</v>
      </c>
      <c r="L76" s="7">
        <f t="shared" si="9"/>
        <v>8</v>
      </c>
      <c r="M76" s="104"/>
      <c r="N76" s="166"/>
      <c r="O76" s="154"/>
      <c r="P76" s="188"/>
      <c r="Q76" s="167"/>
      <c r="R76" s="126"/>
      <c r="S76" s="126"/>
      <c r="T76" s="126"/>
      <c r="U76" s="126"/>
      <c r="V76" s="93" t="s">
        <v>74</v>
      </c>
    </row>
    <row r="77" spans="1:22" ht="30" customHeight="1" x14ac:dyDescent="0.45">
      <c r="A77" s="155" t="s">
        <v>154</v>
      </c>
      <c r="B77" s="155" t="s">
        <v>139</v>
      </c>
      <c r="C77" s="155"/>
      <c r="D77" s="155" t="s">
        <v>140</v>
      </c>
      <c r="E77" s="7" t="s">
        <v>30</v>
      </c>
      <c r="F77" s="7" t="s">
        <v>130</v>
      </c>
      <c r="G77" s="7">
        <v>1</v>
      </c>
      <c r="H77" s="155" t="s">
        <v>141</v>
      </c>
      <c r="I77" s="7">
        <v>4</v>
      </c>
      <c r="J77" s="160" t="s">
        <v>155</v>
      </c>
      <c r="K77" s="7">
        <v>8</v>
      </c>
      <c r="L77" s="7">
        <f t="shared" ref="L77:L81" si="10">G77*I77*K77</f>
        <v>32</v>
      </c>
      <c r="M77" s="7"/>
      <c r="N77" s="155"/>
      <c r="O77" s="154"/>
      <c r="P77" s="188"/>
      <c r="Q77" s="167"/>
      <c r="R77" s="126"/>
      <c r="S77" s="126"/>
      <c r="T77" s="126"/>
      <c r="U77" s="126"/>
      <c r="V77" s="93" t="s">
        <v>74</v>
      </c>
    </row>
    <row r="78" spans="1:22" ht="30" customHeight="1" x14ac:dyDescent="0.45">
      <c r="A78" s="155"/>
      <c r="B78" s="155"/>
      <c r="C78" s="155"/>
      <c r="D78" s="155"/>
      <c r="E78" s="7" t="s">
        <v>38</v>
      </c>
      <c r="F78" s="7" t="s">
        <v>143</v>
      </c>
      <c r="G78" s="7">
        <v>1</v>
      </c>
      <c r="H78" s="155"/>
      <c r="I78" s="7">
        <v>4</v>
      </c>
      <c r="J78" s="160"/>
      <c r="K78" s="7">
        <v>8</v>
      </c>
      <c r="L78" s="7">
        <f t="shared" si="10"/>
        <v>32</v>
      </c>
      <c r="M78" s="7"/>
      <c r="N78" s="155"/>
      <c r="O78" s="154"/>
      <c r="P78" s="188"/>
      <c r="Q78" s="167"/>
      <c r="R78" s="126"/>
      <c r="S78" s="126"/>
      <c r="T78" s="126"/>
      <c r="U78" s="126"/>
      <c r="V78" s="93" t="s">
        <v>74</v>
      </c>
    </row>
    <row r="79" spans="1:22" ht="30" customHeight="1" x14ac:dyDescent="0.45">
      <c r="A79" s="155"/>
      <c r="B79" s="155"/>
      <c r="C79" s="155"/>
      <c r="D79" s="155"/>
      <c r="E79" s="4" t="s">
        <v>40</v>
      </c>
      <c r="F79" s="7" t="s">
        <v>41</v>
      </c>
      <c r="G79" s="7">
        <v>1</v>
      </c>
      <c r="H79" s="155"/>
      <c r="I79" s="7">
        <v>4</v>
      </c>
      <c r="J79" s="160"/>
      <c r="K79" s="7">
        <v>8</v>
      </c>
      <c r="L79" s="7">
        <f t="shared" si="10"/>
        <v>32</v>
      </c>
      <c r="M79" s="7"/>
      <c r="N79" s="155"/>
      <c r="O79" s="154"/>
      <c r="P79" s="188"/>
      <c r="Q79" s="167"/>
      <c r="R79" s="126"/>
      <c r="S79" s="126"/>
      <c r="T79" s="126"/>
      <c r="U79" s="126"/>
      <c r="V79" s="93" t="s">
        <v>74</v>
      </c>
    </row>
    <row r="80" spans="1:22" ht="20.05" customHeight="1" x14ac:dyDescent="0.45">
      <c r="A80" s="155" t="s">
        <v>156</v>
      </c>
      <c r="B80" s="155" t="s">
        <v>149</v>
      </c>
      <c r="C80" s="155"/>
      <c r="D80" s="155" t="s">
        <v>157</v>
      </c>
      <c r="E80" s="7" t="s">
        <v>30</v>
      </c>
      <c r="F80" s="7" t="s">
        <v>151</v>
      </c>
      <c r="G80" s="7">
        <v>1</v>
      </c>
      <c r="H80" s="155" t="s">
        <v>141</v>
      </c>
      <c r="I80" s="7">
        <v>1</v>
      </c>
      <c r="J80" s="160" t="s">
        <v>158</v>
      </c>
      <c r="K80" s="7">
        <v>8</v>
      </c>
      <c r="L80" s="7">
        <f t="shared" si="10"/>
        <v>8</v>
      </c>
      <c r="M80" s="101"/>
      <c r="N80" s="165"/>
      <c r="O80" s="154"/>
      <c r="P80" s="188"/>
      <c r="Q80" s="167"/>
      <c r="R80" s="126"/>
      <c r="S80" s="126"/>
      <c r="T80" s="126"/>
      <c r="U80" s="126"/>
      <c r="V80" s="93" t="s">
        <v>74</v>
      </c>
    </row>
    <row r="81" spans="1:22" ht="20.05" customHeight="1" x14ac:dyDescent="0.45">
      <c r="A81" s="155"/>
      <c r="B81" s="155"/>
      <c r="C81" s="155"/>
      <c r="D81" s="155"/>
      <c r="E81" s="7" t="s">
        <v>38</v>
      </c>
      <c r="F81" s="7" t="s">
        <v>151</v>
      </c>
      <c r="G81" s="7">
        <v>1</v>
      </c>
      <c r="H81" s="155"/>
      <c r="I81" s="7">
        <v>4</v>
      </c>
      <c r="J81" s="160"/>
      <c r="K81" s="7">
        <v>8</v>
      </c>
      <c r="L81" s="7">
        <f t="shared" si="10"/>
        <v>32</v>
      </c>
      <c r="M81" s="104"/>
      <c r="N81" s="166"/>
      <c r="O81" s="154"/>
      <c r="P81" s="188"/>
      <c r="Q81" s="167"/>
      <c r="R81" s="126"/>
      <c r="S81" s="126"/>
      <c r="T81" s="126"/>
      <c r="U81" s="126"/>
      <c r="V81" s="93" t="s">
        <v>74</v>
      </c>
    </row>
    <row r="82" spans="1:22" ht="20.05" customHeight="1" x14ac:dyDescent="0.45">
      <c r="A82" s="155"/>
      <c r="B82" s="155"/>
      <c r="C82" s="155"/>
      <c r="D82" s="155"/>
      <c r="E82" s="7" t="s">
        <v>40</v>
      </c>
      <c r="F82" s="7" t="s">
        <v>41</v>
      </c>
      <c r="G82" s="7">
        <v>1</v>
      </c>
      <c r="H82" s="155"/>
      <c r="I82" s="7">
        <v>1</v>
      </c>
      <c r="J82" s="160"/>
      <c r="K82" s="7">
        <v>8</v>
      </c>
      <c r="L82" s="7">
        <f t="shared" ref="L82:L96" si="11">G82*I82*K82</f>
        <v>8</v>
      </c>
      <c r="M82" s="104"/>
      <c r="N82" s="166"/>
      <c r="O82" s="154"/>
      <c r="P82" s="188"/>
      <c r="Q82" s="167"/>
      <c r="R82" s="126"/>
      <c r="S82" s="126"/>
      <c r="T82" s="126"/>
      <c r="U82" s="126"/>
      <c r="V82" s="93" t="s">
        <v>74</v>
      </c>
    </row>
    <row r="83" spans="1:22" ht="20.05" customHeight="1" x14ac:dyDescent="0.45">
      <c r="A83" s="155"/>
      <c r="B83" s="155"/>
      <c r="C83" s="155"/>
      <c r="D83" s="155" t="s">
        <v>159</v>
      </c>
      <c r="E83" s="7" t="s">
        <v>30</v>
      </c>
      <c r="F83" s="7" t="s">
        <v>151</v>
      </c>
      <c r="G83" s="7">
        <v>1</v>
      </c>
      <c r="H83" s="155" t="s">
        <v>141</v>
      </c>
      <c r="I83" s="7">
        <v>1</v>
      </c>
      <c r="J83" s="160"/>
      <c r="K83" s="7">
        <v>8</v>
      </c>
      <c r="L83" s="7">
        <f t="shared" si="11"/>
        <v>8</v>
      </c>
      <c r="M83" s="104"/>
      <c r="N83" s="166"/>
      <c r="O83" s="154"/>
      <c r="P83" s="188"/>
      <c r="Q83" s="167"/>
      <c r="R83" s="126"/>
      <c r="S83" s="126"/>
      <c r="T83" s="126"/>
      <c r="U83" s="126"/>
      <c r="V83" s="93" t="s">
        <v>74</v>
      </c>
    </row>
    <row r="84" spans="1:22" ht="20.05" customHeight="1" x14ac:dyDescent="0.45">
      <c r="A84" s="155"/>
      <c r="B84" s="155"/>
      <c r="C84" s="155"/>
      <c r="D84" s="155"/>
      <c r="E84" s="7" t="s">
        <v>38</v>
      </c>
      <c r="F84" s="7" t="s">
        <v>151</v>
      </c>
      <c r="G84" s="7">
        <v>1</v>
      </c>
      <c r="H84" s="155"/>
      <c r="I84" s="7">
        <v>4</v>
      </c>
      <c r="J84" s="160"/>
      <c r="K84" s="7">
        <v>8</v>
      </c>
      <c r="L84" s="7">
        <f t="shared" si="11"/>
        <v>32</v>
      </c>
      <c r="M84" s="104"/>
      <c r="N84" s="166"/>
      <c r="O84" s="154"/>
      <c r="P84" s="188"/>
      <c r="Q84" s="167"/>
      <c r="R84" s="126"/>
      <c r="S84" s="126"/>
      <c r="T84" s="126"/>
      <c r="U84" s="126"/>
      <c r="V84" s="93" t="s">
        <v>74</v>
      </c>
    </row>
    <row r="85" spans="1:22" ht="20.05" customHeight="1" x14ac:dyDescent="0.45">
      <c r="A85" s="155"/>
      <c r="B85" s="155"/>
      <c r="C85" s="155"/>
      <c r="D85" s="155"/>
      <c r="E85" s="4" t="s">
        <v>40</v>
      </c>
      <c r="F85" s="7" t="s">
        <v>41</v>
      </c>
      <c r="G85" s="7">
        <v>1</v>
      </c>
      <c r="H85" s="155"/>
      <c r="I85" s="7">
        <v>1</v>
      </c>
      <c r="J85" s="160"/>
      <c r="K85" s="7">
        <v>8</v>
      </c>
      <c r="L85" s="7">
        <f t="shared" si="11"/>
        <v>8</v>
      </c>
      <c r="M85" s="106"/>
      <c r="N85" s="167"/>
      <c r="O85" s="154"/>
      <c r="P85" s="188"/>
      <c r="Q85" s="167"/>
      <c r="R85" s="126"/>
      <c r="S85" s="126"/>
      <c r="T85" s="126"/>
      <c r="U85" s="126"/>
      <c r="V85" s="93" t="s">
        <v>74</v>
      </c>
    </row>
    <row r="86" spans="1:22" s="88" customFormat="1" ht="17.05" customHeight="1" x14ac:dyDescent="0.45">
      <c r="A86" s="155" t="s">
        <v>160</v>
      </c>
      <c r="B86" s="155" t="s">
        <v>161</v>
      </c>
      <c r="C86" s="155"/>
      <c r="D86" s="155" t="s">
        <v>162</v>
      </c>
      <c r="E86" s="7" t="s">
        <v>30</v>
      </c>
      <c r="F86" s="7" t="s">
        <v>130</v>
      </c>
      <c r="G86" s="7">
        <v>1</v>
      </c>
      <c r="H86" s="165" t="s">
        <v>141</v>
      </c>
      <c r="I86" s="7">
        <v>1</v>
      </c>
      <c r="J86" s="175" t="s">
        <v>163</v>
      </c>
      <c r="K86" s="7">
        <v>8</v>
      </c>
      <c r="L86" s="7">
        <f t="shared" si="11"/>
        <v>8</v>
      </c>
      <c r="M86" s="99"/>
      <c r="N86" s="99"/>
      <c r="O86" s="104"/>
      <c r="P86" s="158"/>
      <c r="Q86" s="155"/>
      <c r="R86" s="100"/>
      <c r="S86" s="7"/>
      <c r="T86" s="7"/>
      <c r="U86" s="7">
        <f t="shared" ref="U86:U88" si="12">R86*S86*T86</f>
        <v>0</v>
      </c>
      <c r="V86" s="7" t="s">
        <v>74</v>
      </c>
    </row>
    <row r="87" spans="1:22" s="88" customFormat="1" ht="24" customHeight="1" x14ac:dyDescent="0.45">
      <c r="A87" s="155"/>
      <c r="B87" s="155"/>
      <c r="C87" s="155"/>
      <c r="D87" s="155"/>
      <c r="E87" s="7" t="s">
        <v>38</v>
      </c>
      <c r="F87" s="7" t="s">
        <v>164</v>
      </c>
      <c r="G87" s="7">
        <v>1</v>
      </c>
      <c r="H87" s="166"/>
      <c r="I87" s="7">
        <v>4</v>
      </c>
      <c r="J87" s="176"/>
      <c r="K87" s="7">
        <v>8</v>
      </c>
      <c r="L87" s="7">
        <f t="shared" si="11"/>
        <v>32</v>
      </c>
      <c r="M87" s="99"/>
      <c r="N87" s="99"/>
      <c r="O87" s="106"/>
      <c r="P87" s="158"/>
      <c r="Q87" s="155"/>
      <c r="R87" s="100"/>
      <c r="S87" s="7"/>
      <c r="T87" s="7"/>
      <c r="U87" s="7">
        <f t="shared" si="12"/>
        <v>0</v>
      </c>
      <c r="V87" s="7" t="s">
        <v>74</v>
      </c>
    </row>
    <row r="88" spans="1:22" ht="20.05" customHeight="1" x14ac:dyDescent="0.45">
      <c r="A88" s="155"/>
      <c r="B88" s="155"/>
      <c r="C88" s="155"/>
      <c r="D88" s="155"/>
      <c r="E88" s="7" t="s">
        <v>40</v>
      </c>
      <c r="F88" s="7" t="s">
        <v>41</v>
      </c>
      <c r="G88" s="7"/>
      <c r="H88" s="167"/>
      <c r="I88" s="7">
        <v>1</v>
      </c>
      <c r="J88" s="176"/>
      <c r="K88" s="7">
        <v>8</v>
      </c>
      <c r="L88" s="7">
        <f t="shared" si="11"/>
        <v>0</v>
      </c>
      <c r="M88" s="107"/>
      <c r="N88" s="107"/>
      <c r="O88" s="4"/>
      <c r="P88" s="158"/>
      <c r="Q88" s="155"/>
      <c r="R88" s="100"/>
      <c r="S88" s="7"/>
      <c r="T88" s="7"/>
      <c r="U88" s="7">
        <f t="shared" si="12"/>
        <v>0</v>
      </c>
      <c r="V88" s="7" t="s">
        <v>74</v>
      </c>
    </row>
    <row r="89" spans="1:22" ht="33" customHeight="1" x14ac:dyDescent="0.45">
      <c r="A89" s="155" t="s">
        <v>165</v>
      </c>
      <c r="B89" s="155" t="s">
        <v>82</v>
      </c>
      <c r="C89" s="155"/>
      <c r="D89" s="155" t="s">
        <v>166</v>
      </c>
      <c r="E89" s="7" t="s">
        <v>30</v>
      </c>
      <c r="F89" s="7" t="s">
        <v>84</v>
      </c>
      <c r="G89" s="7">
        <v>3</v>
      </c>
      <c r="H89" s="155" t="s">
        <v>70</v>
      </c>
      <c r="I89" s="7">
        <v>1</v>
      </c>
      <c r="J89" s="160" t="s">
        <v>167</v>
      </c>
      <c r="K89" s="7">
        <v>9</v>
      </c>
      <c r="L89" s="7">
        <f t="shared" si="11"/>
        <v>27</v>
      </c>
      <c r="M89" s="99"/>
      <c r="N89" s="157"/>
      <c r="O89" s="154" t="s">
        <v>116</v>
      </c>
      <c r="P89" s="158"/>
      <c r="Q89" s="155"/>
      <c r="R89" s="98"/>
      <c r="S89" s="98"/>
      <c r="T89" s="98"/>
      <c r="U89" s="98"/>
      <c r="V89" s="98" t="s">
        <v>87</v>
      </c>
    </row>
    <row r="90" spans="1:22" ht="33" customHeight="1" x14ac:dyDescent="0.45">
      <c r="A90" s="155"/>
      <c r="B90" s="155"/>
      <c r="C90" s="155"/>
      <c r="D90" s="155"/>
      <c r="E90" s="7" t="s">
        <v>38</v>
      </c>
      <c r="F90" s="7" t="s">
        <v>104</v>
      </c>
      <c r="G90" s="7">
        <v>3</v>
      </c>
      <c r="H90" s="155"/>
      <c r="I90" s="7">
        <v>2</v>
      </c>
      <c r="J90" s="160"/>
      <c r="K90" s="7">
        <v>9</v>
      </c>
      <c r="L90" s="7">
        <f t="shared" si="11"/>
        <v>54</v>
      </c>
      <c r="M90" s="99"/>
      <c r="N90" s="157"/>
      <c r="O90" s="154"/>
      <c r="P90" s="158"/>
      <c r="Q90" s="155"/>
      <c r="R90" s="98"/>
      <c r="S90" s="98"/>
      <c r="T90" s="98"/>
      <c r="U90" s="98"/>
      <c r="V90" s="98" t="s">
        <v>87</v>
      </c>
    </row>
    <row r="91" spans="1:22" ht="45" customHeight="1" x14ac:dyDescent="0.45">
      <c r="A91" s="155"/>
      <c r="B91" s="155"/>
      <c r="C91" s="155"/>
      <c r="D91" s="155"/>
      <c r="E91" s="4" t="s">
        <v>40</v>
      </c>
      <c r="F91" s="7" t="s">
        <v>41</v>
      </c>
      <c r="G91" s="7">
        <v>3</v>
      </c>
      <c r="H91" s="155"/>
      <c r="I91" s="7">
        <v>1</v>
      </c>
      <c r="J91" s="160"/>
      <c r="K91" s="7">
        <v>9</v>
      </c>
      <c r="L91" s="7">
        <f t="shared" si="11"/>
        <v>27</v>
      </c>
      <c r="M91" s="99"/>
      <c r="N91" s="157"/>
      <c r="O91" s="154"/>
      <c r="P91" s="158"/>
      <c r="Q91" s="155"/>
      <c r="R91" s="98"/>
      <c r="S91" s="98"/>
      <c r="T91" s="98"/>
      <c r="U91" s="98"/>
      <c r="V91" s="98" t="s">
        <v>87</v>
      </c>
    </row>
    <row r="92" spans="1:22" ht="20.05" customHeight="1" x14ac:dyDescent="0.45">
      <c r="A92" s="155" t="s">
        <v>168</v>
      </c>
      <c r="B92" s="155" t="s">
        <v>169</v>
      </c>
      <c r="C92" s="155"/>
      <c r="D92" s="155" t="s">
        <v>170</v>
      </c>
      <c r="E92" s="7" t="s">
        <v>30</v>
      </c>
      <c r="F92" s="7" t="s">
        <v>130</v>
      </c>
      <c r="G92" s="7">
        <v>1</v>
      </c>
      <c r="H92" s="165" t="s">
        <v>171</v>
      </c>
      <c r="I92" s="7">
        <v>1</v>
      </c>
      <c r="J92" s="175" t="s">
        <v>172</v>
      </c>
      <c r="K92" s="7">
        <v>3</v>
      </c>
      <c r="L92" s="7">
        <f t="shared" si="11"/>
        <v>3</v>
      </c>
      <c r="M92" s="102"/>
      <c r="N92" s="183"/>
      <c r="O92" s="154"/>
      <c r="P92" s="158"/>
      <c r="Q92" s="155"/>
      <c r="R92" s="93"/>
      <c r="S92" s="93"/>
      <c r="T92" s="93"/>
      <c r="U92" s="93"/>
      <c r="V92" s="93"/>
    </row>
    <row r="93" spans="1:22" ht="20.05" customHeight="1" x14ac:dyDescent="0.45">
      <c r="A93" s="155"/>
      <c r="B93" s="155"/>
      <c r="C93" s="155"/>
      <c r="D93" s="155"/>
      <c r="E93" s="7" t="s">
        <v>38</v>
      </c>
      <c r="F93" s="7" t="s">
        <v>173</v>
      </c>
      <c r="G93" s="7">
        <v>3</v>
      </c>
      <c r="H93" s="166"/>
      <c r="I93" s="7">
        <v>5</v>
      </c>
      <c r="J93" s="176"/>
      <c r="K93" s="7">
        <v>3</v>
      </c>
      <c r="L93" s="7">
        <f t="shared" si="11"/>
        <v>45</v>
      </c>
      <c r="M93" s="105"/>
      <c r="N93" s="185"/>
      <c r="O93" s="154"/>
      <c r="P93" s="158"/>
      <c r="Q93" s="155"/>
      <c r="R93" s="93"/>
      <c r="S93" s="93"/>
      <c r="T93" s="93"/>
      <c r="U93" s="93"/>
      <c r="V93" s="93"/>
    </row>
    <row r="94" spans="1:22" ht="20.05" customHeight="1" x14ac:dyDescent="0.45">
      <c r="A94" s="155"/>
      <c r="B94" s="155"/>
      <c r="C94" s="155"/>
      <c r="D94" s="155"/>
      <c r="E94" s="4" t="s">
        <v>40</v>
      </c>
      <c r="F94" s="7" t="s">
        <v>41</v>
      </c>
      <c r="G94" s="7">
        <v>1</v>
      </c>
      <c r="H94" s="167"/>
      <c r="I94" s="7">
        <v>1</v>
      </c>
      <c r="J94" s="177"/>
      <c r="K94" s="7">
        <v>3</v>
      </c>
      <c r="L94" s="7">
        <f t="shared" si="11"/>
        <v>3</v>
      </c>
      <c r="M94" s="107"/>
      <c r="N94" s="187"/>
      <c r="O94" s="154"/>
      <c r="P94" s="158"/>
      <c r="Q94" s="155"/>
      <c r="R94" s="93"/>
      <c r="S94" s="93"/>
      <c r="T94" s="93"/>
      <c r="U94" s="93"/>
      <c r="V94" s="93"/>
    </row>
    <row r="95" spans="1:22" ht="18" customHeight="1" x14ac:dyDescent="0.45">
      <c r="A95" s="155" t="s">
        <v>174</v>
      </c>
      <c r="B95" s="155" t="s">
        <v>175</v>
      </c>
      <c r="C95" s="155"/>
      <c r="D95" s="155" t="s">
        <v>176</v>
      </c>
      <c r="E95" s="7" t="s">
        <v>30</v>
      </c>
      <c r="F95" s="7" t="s">
        <v>130</v>
      </c>
      <c r="G95" s="7">
        <v>1</v>
      </c>
      <c r="H95" s="160" t="s">
        <v>177</v>
      </c>
      <c r="I95" s="7">
        <v>1</v>
      </c>
      <c r="J95" s="160" t="s">
        <v>172</v>
      </c>
      <c r="K95" s="7">
        <v>8</v>
      </c>
      <c r="L95" s="7">
        <f t="shared" si="11"/>
        <v>8</v>
      </c>
      <c r="M95" s="99"/>
      <c r="N95" s="152"/>
      <c r="O95" s="154"/>
      <c r="P95" s="158"/>
      <c r="Q95" s="155"/>
      <c r="R95" s="93"/>
      <c r="S95" s="93"/>
      <c r="T95" s="93"/>
      <c r="U95" s="93"/>
      <c r="V95" s="93"/>
    </row>
    <row r="96" spans="1:22" ht="17.05" customHeight="1" x14ac:dyDescent="0.45">
      <c r="A96" s="155"/>
      <c r="B96" s="155"/>
      <c r="C96" s="155"/>
      <c r="D96" s="155"/>
      <c r="E96" s="7" t="s">
        <v>38</v>
      </c>
      <c r="F96" s="7" t="s">
        <v>178</v>
      </c>
      <c r="G96" s="7">
        <v>1</v>
      </c>
      <c r="H96" s="160"/>
      <c r="I96" s="7">
        <v>5</v>
      </c>
      <c r="J96" s="160"/>
      <c r="K96" s="7">
        <v>8</v>
      </c>
      <c r="L96" s="7">
        <f t="shared" si="11"/>
        <v>40</v>
      </c>
      <c r="M96" s="99"/>
      <c r="N96" s="152"/>
      <c r="O96" s="154"/>
      <c r="P96" s="158"/>
      <c r="Q96" s="155"/>
      <c r="R96" s="93"/>
      <c r="S96" s="93"/>
      <c r="T96" s="93"/>
      <c r="U96" s="93"/>
      <c r="V96" s="93"/>
    </row>
    <row r="97" spans="1:22" ht="18" customHeight="1" x14ac:dyDescent="0.45">
      <c r="A97" s="155"/>
      <c r="B97" s="155"/>
      <c r="C97" s="155"/>
      <c r="D97" s="155"/>
      <c r="E97" s="4" t="s">
        <v>40</v>
      </c>
      <c r="F97" s="7" t="s">
        <v>41</v>
      </c>
      <c r="G97" s="7">
        <v>1</v>
      </c>
      <c r="H97" s="160"/>
      <c r="I97" s="7">
        <v>1</v>
      </c>
      <c r="J97" s="160"/>
      <c r="K97" s="7">
        <v>8</v>
      </c>
      <c r="L97" s="7">
        <f t="shared" ref="L97:L99" si="13">G97*I97*K97</f>
        <v>8</v>
      </c>
      <c r="M97" s="99"/>
      <c r="N97" s="152"/>
      <c r="O97" s="154"/>
      <c r="P97" s="158"/>
      <c r="Q97" s="155"/>
      <c r="R97" s="93"/>
      <c r="S97" s="93"/>
      <c r="T97" s="93"/>
      <c r="U97" s="93"/>
      <c r="V97" s="93"/>
    </row>
    <row r="98" spans="1:22" ht="18" customHeight="1" x14ac:dyDescent="0.45">
      <c r="A98" s="155" t="s">
        <v>179</v>
      </c>
      <c r="B98" s="155" t="s">
        <v>180</v>
      </c>
      <c r="C98" s="155"/>
      <c r="D98" s="155" t="s">
        <v>181</v>
      </c>
      <c r="E98" s="7" t="s">
        <v>30</v>
      </c>
      <c r="F98" s="7" t="s">
        <v>130</v>
      </c>
      <c r="G98" s="7">
        <v>1</v>
      </c>
      <c r="H98" s="155" t="s">
        <v>182</v>
      </c>
      <c r="I98" s="7">
        <v>5</v>
      </c>
      <c r="J98" s="160" t="s">
        <v>183</v>
      </c>
      <c r="K98" s="7">
        <v>8</v>
      </c>
      <c r="L98" s="7">
        <f t="shared" si="13"/>
        <v>40</v>
      </c>
      <c r="M98" s="99"/>
      <c r="N98" s="152"/>
      <c r="O98" s="154"/>
      <c r="P98" s="158"/>
      <c r="Q98" s="155"/>
      <c r="R98" s="93"/>
      <c r="S98" s="93"/>
      <c r="T98" s="93"/>
      <c r="U98" s="93"/>
      <c r="V98" s="93"/>
    </row>
    <row r="99" spans="1:22" ht="20.05" customHeight="1" x14ac:dyDescent="0.45">
      <c r="A99" s="155"/>
      <c r="B99" s="155"/>
      <c r="C99" s="155"/>
      <c r="D99" s="155"/>
      <c r="E99" s="7" t="s">
        <v>38</v>
      </c>
      <c r="F99" s="7" t="s">
        <v>178</v>
      </c>
      <c r="G99" s="7">
        <v>1</v>
      </c>
      <c r="H99" s="155"/>
      <c r="I99" s="7">
        <v>5</v>
      </c>
      <c r="J99" s="160"/>
      <c r="K99" s="7">
        <v>8</v>
      </c>
      <c r="L99" s="7">
        <f t="shared" si="13"/>
        <v>40</v>
      </c>
      <c r="M99" s="99"/>
      <c r="N99" s="152"/>
      <c r="O99" s="154"/>
      <c r="P99" s="158"/>
      <c r="Q99" s="155"/>
      <c r="R99" s="93"/>
      <c r="S99" s="93"/>
      <c r="T99" s="93"/>
      <c r="U99" s="93"/>
      <c r="V99" s="93"/>
    </row>
    <row r="100" spans="1:22" ht="18" customHeight="1" x14ac:dyDescent="0.45">
      <c r="A100" s="155"/>
      <c r="B100" s="155"/>
      <c r="C100" s="155"/>
      <c r="D100" s="155"/>
      <c r="E100" s="4" t="s">
        <v>40</v>
      </c>
      <c r="F100" s="7" t="s">
        <v>41</v>
      </c>
      <c r="G100" s="7">
        <v>1</v>
      </c>
      <c r="H100" s="155"/>
      <c r="I100" s="7">
        <v>5</v>
      </c>
      <c r="J100" s="160"/>
      <c r="K100" s="7">
        <v>8</v>
      </c>
      <c r="L100" s="7">
        <f t="shared" ref="L100:L108" si="14">G100*I100*K100</f>
        <v>40</v>
      </c>
      <c r="M100" s="99"/>
      <c r="N100" s="152"/>
      <c r="O100" s="154"/>
      <c r="P100" s="158"/>
      <c r="Q100" s="155"/>
      <c r="R100" s="93"/>
      <c r="S100" s="93"/>
      <c r="T100" s="93"/>
      <c r="U100" s="93"/>
      <c r="V100" s="93"/>
    </row>
    <row r="101" spans="1:22" s="118" customFormat="1" ht="37" customHeight="1" x14ac:dyDescent="0.45">
      <c r="A101" s="206" t="s">
        <v>184</v>
      </c>
      <c r="B101" s="206" t="s">
        <v>185</v>
      </c>
      <c r="C101" s="206"/>
      <c r="D101" s="206" t="s">
        <v>186</v>
      </c>
      <c r="E101" s="131" t="s">
        <v>30</v>
      </c>
      <c r="F101" s="131" t="s">
        <v>120</v>
      </c>
      <c r="G101" s="131">
        <v>3</v>
      </c>
      <c r="H101" s="200" t="s">
        <v>70</v>
      </c>
      <c r="I101" s="131">
        <v>1</v>
      </c>
      <c r="J101" s="223" t="s">
        <v>187</v>
      </c>
      <c r="K101" s="131">
        <v>2</v>
      </c>
      <c r="L101" s="131">
        <f t="shared" si="14"/>
        <v>6</v>
      </c>
      <c r="M101" s="132"/>
      <c r="N101" s="230" t="s">
        <v>188</v>
      </c>
      <c r="O101" s="232" t="s">
        <v>116</v>
      </c>
      <c r="P101" s="199"/>
      <c r="Q101" s="200"/>
      <c r="R101" s="134"/>
      <c r="S101" s="134"/>
      <c r="T101" s="134"/>
      <c r="U101" s="134"/>
      <c r="V101" s="134"/>
    </row>
    <row r="102" spans="1:22" s="118" customFormat="1" ht="37" customHeight="1" x14ac:dyDescent="0.45">
      <c r="A102" s="206"/>
      <c r="B102" s="206"/>
      <c r="C102" s="206"/>
      <c r="D102" s="206"/>
      <c r="E102" s="131" t="s">
        <v>38</v>
      </c>
      <c r="F102" s="131" t="s">
        <v>120</v>
      </c>
      <c r="G102" s="131">
        <v>3</v>
      </c>
      <c r="H102" s="200"/>
      <c r="I102" s="131">
        <v>4</v>
      </c>
      <c r="J102" s="223"/>
      <c r="K102" s="131">
        <v>2</v>
      </c>
      <c r="L102" s="131">
        <f t="shared" si="14"/>
        <v>24</v>
      </c>
      <c r="M102" s="132"/>
      <c r="N102" s="230"/>
      <c r="O102" s="232"/>
      <c r="P102" s="199"/>
      <c r="Q102" s="200"/>
      <c r="R102" s="134"/>
      <c r="S102" s="134"/>
      <c r="T102" s="134"/>
      <c r="U102" s="134"/>
      <c r="V102" s="134"/>
    </row>
    <row r="103" spans="1:22" s="118" customFormat="1" ht="37" customHeight="1" x14ac:dyDescent="0.45">
      <c r="A103" s="206"/>
      <c r="B103" s="206"/>
      <c r="C103" s="206"/>
      <c r="D103" s="206"/>
      <c r="E103" s="133" t="s">
        <v>40</v>
      </c>
      <c r="F103" s="131" t="s">
        <v>41</v>
      </c>
      <c r="G103" s="131">
        <v>3</v>
      </c>
      <c r="H103" s="200"/>
      <c r="I103" s="131">
        <v>1</v>
      </c>
      <c r="J103" s="223"/>
      <c r="K103" s="131">
        <v>2</v>
      </c>
      <c r="L103" s="131">
        <f t="shared" si="14"/>
        <v>6</v>
      </c>
      <c r="M103" s="132"/>
      <c r="N103" s="230"/>
      <c r="O103" s="232"/>
      <c r="P103" s="199"/>
      <c r="Q103" s="200"/>
      <c r="R103" s="134"/>
      <c r="S103" s="134"/>
      <c r="T103" s="134"/>
      <c r="U103" s="134"/>
      <c r="V103" s="134"/>
    </row>
    <row r="104" spans="1:22" ht="33" customHeight="1" x14ac:dyDescent="0.45">
      <c r="A104" s="155" t="s">
        <v>189</v>
      </c>
      <c r="B104" s="155" t="s">
        <v>190</v>
      </c>
      <c r="C104" s="155"/>
      <c r="D104" s="155" t="s">
        <v>191</v>
      </c>
      <c r="E104" s="7" t="s">
        <v>30</v>
      </c>
      <c r="F104" s="7" t="s">
        <v>130</v>
      </c>
      <c r="G104" s="7">
        <v>1</v>
      </c>
      <c r="H104" s="155" t="s">
        <v>192</v>
      </c>
      <c r="I104" s="7">
        <v>1</v>
      </c>
      <c r="J104" s="160" t="s">
        <v>193</v>
      </c>
      <c r="K104" s="7">
        <v>8</v>
      </c>
      <c r="L104" s="7">
        <f t="shared" si="14"/>
        <v>8</v>
      </c>
      <c r="M104" s="102"/>
      <c r="N104" s="183"/>
      <c r="O104" s="154"/>
      <c r="P104" s="158"/>
      <c r="Q104" s="155"/>
      <c r="R104" s="93"/>
      <c r="S104" s="93"/>
      <c r="T104" s="93"/>
      <c r="U104" s="93"/>
      <c r="V104" s="93"/>
    </row>
    <row r="105" spans="1:22" ht="33" customHeight="1" x14ac:dyDescent="0.45">
      <c r="A105" s="155"/>
      <c r="B105" s="155"/>
      <c r="C105" s="155"/>
      <c r="D105" s="155"/>
      <c r="E105" s="7" t="s">
        <v>38</v>
      </c>
      <c r="F105" s="7" t="s">
        <v>194</v>
      </c>
      <c r="G105" s="7">
        <v>1</v>
      </c>
      <c r="H105" s="155"/>
      <c r="I105" s="7">
        <v>4</v>
      </c>
      <c r="J105" s="160"/>
      <c r="K105" s="7">
        <v>8</v>
      </c>
      <c r="L105" s="7">
        <f t="shared" si="14"/>
        <v>32</v>
      </c>
      <c r="M105" s="105"/>
      <c r="N105" s="185"/>
      <c r="O105" s="154"/>
      <c r="P105" s="158"/>
      <c r="Q105" s="155"/>
      <c r="R105" s="93"/>
      <c r="S105" s="93"/>
      <c r="T105" s="93"/>
      <c r="U105" s="93"/>
      <c r="V105" s="93"/>
    </row>
    <row r="106" spans="1:22" ht="33" customHeight="1" x14ac:dyDescent="0.45">
      <c r="A106" s="155"/>
      <c r="B106" s="155"/>
      <c r="C106" s="155"/>
      <c r="D106" s="155"/>
      <c r="E106" s="4" t="s">
        <v>40</v>
      </c>
      <c r="F106" s="7" t="s">
        <v>41</v>
      </c>
      <c r="G106" s="7">
        <v>1</v>
      </c>
      <c r="H106" s="155"/>
      <c r="I106" s="7">
        <v>1</v>
      </c>
      <c r="J106" s="160"/>
      <c r="K106" s="7">
        <v>9</v>
      </c>
      <c r="L106" s="7">
        <f t="shared" si="14"/>
        <v>9</v>
      </c>
      <c r="M106" s="105"/>
      <c r="N106" s="185"/>
      <c r="O106" s="154"/>
      <c r="P106" s="158"/>
      <c r="Q106" s="155"/>
      <c r="R106" s="93"/>
      <c r="S106" s="93"/>
      <c r="T106" s="93"/>
      <c r="U106" s="93"/>
      <c r="V106" s="93"/>
    </row>
    <row r="107" spans="1:22" ht="20.05" customHeight="1" x14ac:dyDescent="0.45">
      <c r="A107" s="206" t="s">
        <v>195</v>
      </c>
      <c r="B107" s="206" t="s">
        <v>185</v>
      </c>
      <c r="C107" s="206"/>
      <c r="D107" s="206" t="s">
        <v>186</v>
      </c>
      <c r="E107" s="7" t="s">
        <v>30</v>
      </c>
      <c r="F107" s="7" t="s">
        <v>120</v>
      </c>
      <c r="G107" s="7">
        <v>3</v>
      </c>
      <c r="H107" s="165" t="s">
        <v>196</v>
      </c>
      <c r="I107" s="7">
        <v>4</v>
      </c>
      <c r="J107" s="175" t="s">
        <v>187</v>
      </c>
      <c r="K107" s="7">
        <v>2</v>
      </c>
      <c r="L107" s="7">
        <f t="shared" si="14"/>
        <v>24</v>
      </c>
      <c r="M107" s="99"/>
      <c r="N107" s="230" t="s">
        <v>197</v>
      </c>
      <c r="O107" s="154"/>
      <c r="P107" s="184"/>
      <c r="Q107" s="165"/>
      <c r="R107" s="135"/>
      <c r="S107" s="135"/>
      <c r="T107" s="135"/>
      <c r="U107" s="135"/>
      <c r="V107" s="135"/>
    </row>
    <row r="108" spans="1:22" ht="20.05" customHeight="1" x14ac:dyDescent="0.45">
      <c r="A108" s="206"/>
      <c r="B108" s="206"/>
      <c r="C108" s="206"/>
      <c r="D108" s="206"/>
      <c r="E108" s="7" t="s">
        <v>38</v>
      </c>
      <c r="F108" s="7" t="s">
        <v>120</v>
      </c>
      <c r="G108" s="7">
        <v>3</v>
      </c>
      <c r="H108" s="166"/>
      <c r="I108" s="7">
        <v>4</v>
      </c>
      <c r="J108" s="176"/>
      <c r="K108" s="7">
        <v>2</v>
      </c>
      <c r="L108" s="7">
        <f t="shared" si="14"/>
        <v>24</v>
      </c>
      <c r="M108" s="99"/>
      <c r="N108" s="230"/>
      <c r="O108" s="154"/>
      <c r="P108" s="184"/>
      <c r="Q108" s="165"/>
      <c r="R108" s="135"/>
      <c r="S108" s="135"/>
      <c r="T108" s="135"/>
      <c r="U108" s="135"/>
      <c r="V108" s="135"/>
    </row>
    <row r="109" spans="1:22" ht="18" customHeight="1" x14ac:dyDescent="0.45">
      <c r="A109" s="206"/>
      <c r="B109" s="206"/>
      <c r="C109" s="206"/>
      <c r="D109" s="206"/>
      <c r="E109" s="4" t="s">
        <v>40</v>
      </c>
      <c r="F109" s="7" t="s">
        <v>41</v>
      </c>
      <c r="G109" s="93">
        <v>3</v>
      </c>
      <c r="H109" s="167"/>
      <c r="I109" s="7">
        <v>4</v>
      </c>
      <c r="J109" s="177"/>
      <c r="K109" s="4">
        <v>2</v>
      </c>
      <c r="L109" s="7">
        <f t="shared" ref="L109:L121" si="15">G109*I109*K109</f>
        <v>24</v>
      </c>
      <c r="M109" s="99"/>
      <c r="N109" s="230"/>
      <c r="O109" s="154"/>
      <c r="P109" s="158"/>
      <c r="Q109" s="155"/>
      <c r="R109" s="93"/>
      <c r="S109" s="93"/>
      <c r="T109" s="93"/>
      <c r="U109" s="93"/>
      <c r="V109" s="93"/>
    </row>
    <row r="110" spans="1:22" ht="40" customHeight="1" x14ac:dyDescent="0.45">
      <c r="A110" s="155" t="s">
        <v>198</v>
      </c>
      <c r="B110" s="155" t="s">
        <v>199</v>
      </c>
      <c r="C110" s="155"/>
      <c r="D110" s="155" t="s">
        <v>200</v>
      </c>
      <c r="E110" s="7" t="s">
        <v>30</v>
      </c>
      <c r="F110" s="7" t="s">
        <v>201</v>
      </c>
      <c r="G110" s="7">
        <v>3</v>
      </c>
      <c r="H110" s="175" t="s">
        <v>202</v>
      </c>
      <c r="I110" s="7">
        <v>2</v>
      </c>
      <c r="J110" s="221" t="s">
        <v>203</v>
      </c>
      <c r="K110" s="7">
        <v>2</v>
      </c>
      <c r="L110" s="7">
        <f t="shared" si="15"/>
        <v>12</v>
      </c>
      <c r="M110" s="102"/>
      <c r="N110" s="183"/>
      <c r="O110" s="163" t="s">
        <v>116</v>
      </c>
      <c r="P110" s="184"/>
      <c r="Q110" s="165"/>
      <c r="R110" s="135"/>
      <c r="S110" s="135"/>
      <c r="T110" s="135"/>
      <c r="U110" s="135"/>
      <c r="V110" s="135"/>
    </row>
    <row r="111" spans="1:22" ht="40" customHeight="1" x14ac:dyDescent="0.45">
      <c r="A111" s="155"/>
      <c r="B111" s="155"/>
      <c r="C111" s="155"/>
      <c r="D111" s="155"/>
      <c r="E111" s="7" t="s">
        <v>38</v>
      </c>
      <c r="F111" s="7" t="s">
        <v>204</v>
      </c>
      <c r="G111" s="7">
        <v>3</v>
      </c>
      <c r="H111" s="176"/>
      <c r="I111" s="7">
        <v>4</v>
      </c>
      <c r="J111" s="222"/>
      <c r="K111" s="7">
        <v>2</v>
      </c>
      <c r="L111" s="7">
        <f t="shared" si="15"/>
        <v>24</v>
      </c>
      <c r="M111" s="105"/>
      <c r="N111" s="185"/>
      <c r="O111" s="180"/>
      <c r="P111" s="184"/>
      <c r="Q111" s="165"/>
      <c r="R111" s="135"/>
      <c r="S111" s="135"/>
      <c r="T111" s="135"/>
      <c r="U111" s="135"/>
      <c r="V111" s="135"/>
    </row>
    <row r="112" spans="1:22" ht="40" customHeight="1" x14ac:dyDescent="0.45">
      <c r="A112" s="155"/>
      <c r="B112" s="155"/>
      <c r="C112" s="155"/>
      <c r="D112" s="155"/>
      <c r="E112" s="4" t="s">
        <v>40</v>
      </c>
      <c r="F112" s="7" t="s">
        <v>41</v>
      </c>
      <c r="G112" s="93">
        <v>3</v>
      </c>
      <c r="H112" s="177"/>
      <c r="I112" s="7">
        <v>2</v>
      </c>
      <c r="J112" s="224"/>
      <c r="K112" s="4">
        <v>2</v>
      </c>
      <c r="L112" s="7">
        <f t="shared" si="15"/>
        <v>12</v>
      </c>
      <c r="M112" s="107"/>
      <c r="N112" s="187"/>
      <c r="O112" s="180"/>
      <c r="P112" s="158"/>
      <c r="Q112" s="155"/>
      <c r="R112" s="93"/>
      <c r="S112" s="93"/>
      <c r="T112" s="93"/>
      <c r="U112" s="93"/>
      <c r="V112" s="93"/>
    </row>
    <row r="113" spans="1:22" ht="87" customHeight="1" x14ac:dyDescent="0.45">
      <c r="A113" s="155" t="s">
        <v>205</v>
      </c>
      <c r="B113" s="190" t="s">
        <v>206</v>
      </c>
      <c r="C113" s="190"/>
      <c r="D113" s="160" t="s">
        <v>207</v>
      </c>
      <c r="E113" s="7" t="s">
        <v>30</v>
      </c>
      <c r="F113" s="7" t="s">
        <v>120</v>
      </c>
      <c r="G113" s="7">
        <v>3</v>
      </c>
      <c r="H113" s="175" t="s">
        <v>208</v>
      </c>
      <c r="I113" s="7">
        <v>2</v>
      </c>
      <c r="J113" s="175" t="s">
        <v>209</v>
      </c>
      <c r="K113" s="7">
        <v>2</v>
      </c>
      <c r="L113" s="7">
        <f t="shared" si="15"/>
        <v>12</v>
      </c>
      <c r="M113" s="102"/>
      <c r="N113" s="183"/>
      <c r="O113" s="180"/>
      <c r="P113" s="184"/>
      <c r="Q113" s="165"/>
      <c r="R113" s="135"/>
      <c r="S113" s="135"/>
      <c r="T113" s="135"/>
      <c r="U113" s="135"/>
      <c r="V113" s="135"/>
    </row>
    <row r="114" spans="1:22" ht="87" customHeight="1" x14ac:dyDescent="0.45">
      <c r="A114" s="155"/>
      <c r="B114" s="190"/>
      <c r="C114" s="190"/>
      <c r="D114" s="160"/>
      <c r="E114" s="7" t="s">
        <v>38</v>
      </c>
      <c r="F114" s="7" t="s">
        <v>204</v>
      </c>
      <c r="G114" s="7">
        <v>3</v>
      </c>
      <c r="H114" s="176"/>
      <c r="I114" s="7">
        <v>4</v>
      </c>
      <c r="J114" s="176"/>
      <c r="K114" s="7">
        <v>2</v>
      </c>
      <c r="L114" s="7">
        <f t="shared" si="15"/>
        <v>24</v>
      </c>
      <c r="M114" s="105"/>
      <c r="N114" s="185"/>
      <c r="O114" s="180"/>
      <c r="P114" s="184"/>
      <c r="Q114" s="165"/>
      <c r="R114" s="135"/>
      <c r="S114" s="135"/>
      <c r="T114" s="135"/>
      <c r="U114" s="135"/>
      <c r="V114" s="135"/>
    </row>
    <row r="115" spans="1:22" ht="87" customHeight="1" x14ac:dyDescent="0.45">
      <c r="A115" s="155"/>
      <c r="B115" s="190"/>
      <c r="C115" s="190"/>
      <c r="D115" s="160"/>
      <c r="E115" s="4" t="s">
        <v>40</v>
      </c>
      <c r="F115" s="7" t="s">
        <v>41</v>
      </c>
      <c r="G115" s="93">
        <v>3</v>
      </c>
      <c r="H115" s="177"/>
      <c r="I115" s="7">
        <v>2</v>
      </c>
      <c r="J115" s="177"/>
      <c r="K115" s="4">
        <v>2</v>
      </c>
      <c r="L115" s="7">
        <f t="shared" si="15"/>
        <v>12</v>
      </c>
      <c r="M115" s="107"/>
      <c r="N115" s="187"/>
      <c r="O115" s="180"/>
      <c r="P115" s="158"/>
      <c r="Q115" s="155"/>
      <c r="R115" s="93"/>
      <c r="S115" s="93"/>
      <c r="T115" s="93"/>
      <c r="U115" s="93"/>
      <c r="V115" s="93"/>
    </row>
    <row r="116" spans="1:22" ht="37" customHeight="1" x14ac:dyDescent="0.45">
      <c r="A116" s="155" t="s">
        <v>210</v>
      </c>
      <c r="B116" s="155" t="s">
        <v>210</v>
      </c>
      <c r="C116" s="155"/>
      <c r="D116" s="155" t="s">
        <v>211</v>
      </c>
      <c r="E116" s="7" t="s">
        <v>30</v>
      </c>
      <c r="F116" s="7" t="s">
        <v>212</v>
      </c>
      <c r="G116" s="7">
        <v>3</v>
      </c>
      <c r="H116" s="155" t="s">
        <v>70</v>
      </c>
      <c r="I116" s="7">
        <v>1</v>
      </c>
      <c r="J116" s="160" t="s">
        <v>213</v>
      </c>
      <c r="K116" s="7">
        <v>3</v>
      </c>
      <c r="L116" s="7">
        <f t="shared" si="15"/>
        <v>9</v>
      </c>
      <c r="M116" s="99"/>
      <c r="N116" s="157"/>
      <c r="O116" s="180"/>
      <c r="P116" s="184"/>
      <c r="Q116" s="165"/>
      <c r="R116" s="135"/>
      <c r="S116" s="135"/>
      <c r="T116" s="135"/>
      <c r="U116" s="135"/>
      <c r="V116" s="135"/>
    </row>
    <row r="117" spans="1:22" ht="37" customHeight="1" x14ac:dyDescent="0.45">
      <c r="A117" s="155"/>
      <c r="B117" s="155"/>
      <c r="C117" s="155"/>
      <c r="D117" s="155"/>
      <c r="E117" s="7" t="s">
        <v>38</v>
      </c>
      <c r="F117" s="7" t="s">
        <v>214</v>
      </c>
      <c r="G117" s="7">
        <v>3</v>
      </c>
      <c r="H117" s="155"/>
      <c r="I117" s="121">
        <v>3</v>
      </c>
      <c r="J117" s="160"/>
      <c r="K117" s="7">
        <v>3</v>
      </c>
      <c r="L117" s="7">
        <f t="shared" si="15"/>
        <v>27</v>
      </c>
      <c r="M117" s="99"/>
      <c r="N117" s="157"/>
      <c r="O117" s="180"/>
      <c r="P117" s="184"/>
      <c r="Q117" s="165"/>
      <c r="R117" s="135"/>
      <c r="S117" s="135"/>
      <c r="T117" s="135"/>
      <c r="U117" s="135"/>
      <c r="V117" s="135"/>
    </row>
    <row r="118" spans="1:22" ht="37" customHeight="1" x14ac:dyDescent="0.45">
      <c r="A118" s="155"/>
      <c r="B118" s="155"/>
      <c r="C118" s="155"/>
      <c r="D118" s="155"/>
      <c r="E118" s="4" t="s">
        <v>40</v>
      </c>
      <c r="F118" s="7" t="s">
        <v>41</v>
      </c>
      <c r="G118" s="93">
        <v>3</v>
      </c>
      <c r="H118" s="155"/>
      <c r="I118" s="7">
        <v>1</v>
      </c>
      <c r="J118" s="160"/>
      <c r="K118" s="7">
        <v>3</v>
      </c>
      <c r="L118" s="7">
        <f t="shared" si="15"/>
        <v>9</v>
      </c>
      <c r="M118" s="99"/>
      <c r="N118" s="157"/>
      <c r="O118" s="180"/>
      <c r="P118" s="158"/>
      <c r="Q118" s="155"/>
      <c r="R118" s="93"/>
      <c r="S118" s="93"/>
      <c r="T118" s="93"/>
      <c r="U118" s="93"/>
      <c r="V118" s="93"/>
    </row>
    <row r="119" spans="1:22" ht="34" customHeight="1" x14ac:dyDescent="0.45">
      <c r="A119" s="155" t="s">
        <v>215</v>
      </c>
      <c r="B119" s="155" t="s">
        <v>216</v>
      </c>
      <c r="C119" s="155"/>
      <c r="D119" s="155" t="s">
        <v>211</v>
      </c>
      <c r="E119" s="7" t="s">
        <v>30</v>
      </c>
      <c r="F119" s="7" t="s">
        <v>212</v>
      </c>
      <c r="G119" s="7">
        <v>3</v>
      </c>
      <c r="H119" s="155" t="s">
        <v>70</v>
      </c>
      <c r="I119" s="7">
        <v>1</v>
      </c>
      <c r="J119" s="160" t="s">
        <v>217</v>
      </c>
      <c r="K119" s="7">
        <v>3</v>
      </c>
      <c r="L119" s="7">
        <f t="shared" si="15"/>
        <v>9</v>
      </c>
      <c r="M119" s="99"/>
      <c r="N119" s="125"/>
      <c r="O119" s="180"/>
      <c r="P119" s="184"/>
      <c r="Q119" s="165"/>
      <c r="R119" s="135"/>
      <c r="S119" s="135"/>
      <c r="T119" s="135"/>
      <c r="U119" s="135"/>
      <c r="V119" s="135"/>
    </row>
    <row r="120" spans="1:22" ht="34" customHeight="1" x14ac:dyDescent="0.45">
      <c r="A120" s="155"/>
      <c r="B120" s="155"/>
      <c r="C120" s="155"/>
      <c r="D120" s="155"/>
      <c r="E120" s="7" t="s">
        <v>38</v>
      </c>
      <c r="F120" s="7" t="s">
        <v>214</v>
      </c>
      <c r="G120" s="7">
        <v>3</v>
      </c>
      <c r="H120" s="155"/>
      <c r="I120" s="7">
        <v>1</v>
      </c>
      <c r="J120" s="160"/>
      <c r="K120" s="7">
        <v>3</v>
      </c>
      <c r="L120" s="7">
        <f t="shared" si="15"/>
        <v>9</v>
      </c>
      <c r="M120" s="99"/>
      <c r="N120" s="125"/>
      <c r="O120" s="180"/>
      <c r="P120" s="184"/>
      <c r="Q120" s="165"/>
      <c r="R120" s="135"/>
      <c r="S120" s="135"/>
      <c r="T120" s="135"/>
      <c r="U120" s="135"/>
      <c r="V120" s="135"/>
    </row>
    <row r="121" spans="1:22" ht="34" customHeight="1" x14ac:dyDescent="0.45">
      <c r="A121" s="155"/>
      <c r="B121" s="155"/>
      <c r="C121" s="155"/>
      <c r="D121" s="155"/>
      <c r="E121" s="4" t="s">
        <v>40</v>
      </c>
      <c r="F121" s="7" t="s">
        <v>41</v>
      </c>
      <c r="G121" s="93">
        <v>3</v>
      </c>
      <c r="H121" s="155"/>
      <c r="I121" s="7">
        <v>1</v>
      </c>
      <c r="J121" s="160"/>
      <c r="K121" s="7">
        <v>3</v>
      </c>
      <c r="L121" s="7">
        <f t="shared" si="15"/>
        <v>9</v>
      </c>
      <c r="M121" s="99"/>
      <c r="N121" s="125"/>
      <c r="O121" s="180"/>
      <c r="P121" s="158"/>
      <c r="Q121" s="155"/>
      <c r="R121" s="93"/>
      <c r="S121" s="93"/>
      <c r="T121" s="93"/>
      <c r="U121" s="93"/>
      <c r="V121" s="93"/>
    </row>
    <row r="122" spans="1:22" ht="20.05" customHeight="1" x14ac:dyDescent="0.45">
      <c r="A122" s="155" t="s">
        <v>218</v>
      </c>
      <c r="B122" s="155" t="s">
        <v>216</v>
      </c>
      <c r="C122" s="155"/>
      <c r="D122" s="155" t="s">
        <v>211</v>
      </c>
      <c r="E122" s="7" t="s">
        <v>30</v>
      </c>
      <c r="F122" s="7" t="s">
        <v>214</v>
      </c>
      <c r="G122" s="7">
        <v>3</v>
      </c>
      <c r="H122" s="155" t="s">
        <v>70</v>
      </c>
      <c r="I122" s="7">
        <v>1</v>
      </c>
      <c r="J122" s="160" t="s">
        <v>219</v>
      </c>
      <c r="K122" s="7">
        <v>3</v>
      </c>
      <c r="L122" s="7">
        <f t="shared" ref="L122:L128" si="16">G122*I122*K122</f>
        <v>9</v>
      </c>
      <c r="M122" s="99"/>
      <c r="N122" s="125"/>
      <c r="O122" s="180"/>
      <c r="P122" s="158"/>
      <c r="Q122" s="155"/>
      <c r="R122" s="93"/>
      <c r="S122" s="93"/>
      <c r="T122" s="93"/>
      <c r="U122" s="93"/>
      <c r="V122" s="93"/>
    </row>
    <row r="123" spans="1:22" ht="20.05" customHeight="1" x14ac:dyDescent="0.45">
      <c r="A123" s="155"/>
      <c r="B123" s="155"/>
      <c r="C123" s="155"/>
      <c r="D123" s="155"/>
      <c r="E123" s="7" t="s">
        <v>38</v>
      </c>
      <c r="F123" s="7" t="s">
        <v>214</v>
      </c>
      <c r="G123" s="7">
        <v>3</v>
      </c>
      <c r="H123" s="155"/>
      <c r="I123" s="7">
        <v>1</v>
      </c>
      <c r="J123" s="160"/>
      <c r="K123" s="7">
        <v>3</v>
      </c>
      <c r="L123" s="7">
        <f t="shared" si="16"/>
        <v>9</v>
      </c>
      <c r="M123" s="99"/>
      <c r="N123" s="125"/>
      <c r="O123" s="180"/>
      <c r="P123" s="158"/>
      <c r="Q123" s="155"/>
      <c r="R123" s="93"/>
      <c r="S123" s="93"/>
      <c r="T123" s="93"/>
      <c r="U123" s="93"/>
      <c r="V123" s="93"/>
    </row>
    <row r="124" spans="1:22" ht="20.05" customHeight="1" x14ac:dyDescent="0.45">
      <c r="A124" s="155"/>
      <c r="B124" s="155"/>
      <c r="C124" s="155"/>
      <c r="D124" s="155"/>
      <c r="E124" s="4" t="s">
        <v>40</v>
      </c>
      <c r="F124" s="7" t="s">
        <v>41</v>
      </c>
      <c r="G124" s="93">
        <v>3</v>
      </c>
      <c r="H124" s="155"/>
      <c r="I124" s="7">
        <v>1</v>
      </c>
      <c r="J124" s="160"/>
      <c r="K124" s="7">
        <v>3</v>
      </c>
      <c r="L124" s="7">
        <f t="shared" si="16"/>
        <v>9</v>
      </c>
      <c r="M124" s="99"/>
      <c r="N124" s="125"/>
      <c r="O124" s="164"/>
      <c r="P124" s="158"/>
      <c r="Q124" s="155"/>
      <c r="R124" s="93"/>
      <c r="S124" s="93"/>
      <c r="T124" s="93"/>
      <c r="U124" s="93"/>
      <c r="V124" s="93"/>
    </row>
    <row r="125" spans="1:22" ht="20.05" customHeight="1" x14ac:dyDescent="0.45">
      <c r="A125" s="207" t="s">
        <v>220</v>
      </c>
      <c r="B125" s="233" t="s">
        <v>221</v>
      </c>
      <c r="C125" s="234"/>
      <c r="D125" s="207" t="s">
        <v>222</v>
      </c>
      <c r="E125" s="137" t="s">
        <v>30</v>
      </c>
      <c r="F125" s="137" t="s">
        <v>41</v>
      </c>
      <c r="G125" s="137">
        <v>1</v>
      </c>
      <c r="H125" s="207" t="s">
        <v>141</v>
      </c>
      <c r="I125" s="138">
        <v>1</v>
      </c>
      <c r="J125" s="225" t="s">
        <v>223</v>
      </c>
      <c r="K125" s="137">
        <v>8</v>
      </c>
      <c r="L125" s="7">
        <f t="shared" si="16"/>
        <v>8</v>
      </c>
      <c r="M125" s="7"/>
      <c r="N125" s="139"/>
      <c r="O125" s="163" t="s">
        <v>116</v>
      </c>
      <c r="P125" s="158"/>
      <c r="Q125" s="155"/>
      <c r="R125" s="93"/>
      <c r="S125" s="93"/>
      <c r="T125" s="93"/>
      <c r="U125" s="93"/>
      <c r="V125" s="93"/>
    </row>
    <row r="126" spans="1:22" ht="20.05" customHeight="1" x14ac:dyDescent="0.45">
      <c r="A126" s="208"/>
      <c r="B126" s="235"/>
      <c r="C126" s="236"/>
      <c r="D126" s="208"/>
      <c r="E126" s="137" t="s">
        <v>38</v>
      </c>
      <c r="F126" s="137" t="s">
        <v>130</v>
      </c>
      <c r="G126" s="137">
        <v>1</v>
      </c>
      <c r="H126" s="208"/>
      <c r="I126" s="138">
        <v>5</v>
      </c>
      <c r="J126" s="226"/>
      <c r="K126" s="137">
        <v>8</v>
      </c>
      <c r="L126" s="7">
        <f t="shared" si="16"/>
        <v>40</v>
      </c>
      <c r="M126" s="7"/>
      <c r="N126" s="139"/>
      <c r="O126" s="180"/>
      <c r="P126" s="158"/>
      <c r="Q126" s="155"/>
      <c r="R126" s="93"/>
      <c r="S126" s="93"/>
      <c r="T126" s="93"/>
      <c r="U126" s="93"/>
      <c r="V126" s="93"/>
    </row>
    <row r="127" spans="1:22" ht="20.05" customHeight="1" x14ac:dyDescent="0.45">
      <c r="A127" s="208"/>
      <c r="B127" s="235"/>
      <c r="C127" s="236"/>
      <c r="D127" s="209"/>
      <c r="E127" s="137" t="s">
        <v>40</v>
      </c>
      <c r="F127" s="137" t="s">
        <v>41</v>
      </c>
      <c r="G127" s="137">
        <v>1</v>
      </c>
      <c r="H127" s="209"/>
      <c r="I127" s="138">
        <v>1</v>
      </c>
      <c r="J127" s="226"/>
      <c r="K127" s="137">
        <v>8</v>
      </c>
      <c r="L127" s="7">
        <f t="shared" si="16"/>
        <v>8</v>
      </c>
      <c r="M127" s="7"/>
      <c r="N127" s="139"/>
      <c r="O127" s="180"/>
      <c r="P127" s="158"/>
      <c r="Q127" s="155"/>
      <c r="R127" s="93"/>
      <c r="S127" s="93"/>
      <c r="T127" s="93"/>
      <c r="U127" s="93"/>
      <c r="V127" s="93"/>
    </row>
    <row r="128" spans="1:22" ht="20.05" customHeight="1" x14ac:dyDescent="0.45">
      <c r="A128" s="208"/>
      <c r="B128" s="235"/>
      <c r="C128" s="236"/>
      <c r="D128" s="207" t="s">
        <v>224</v>
      </c>
      <c r="E128" s="137" t="s">
        <v>30</v>
      </c>
      <c r="F128" s="137" t="s">
        <v>41</v>
      </c>
      <c r="G128" s="137">
        <v>1</v>
      </c>
      <c r="H128" s="207" t="s">
        <v>141</v>
      </c>
      <c r="I128" s="138">
        <v>1</v>
      </c>
      <c r="J128" s="226"/>
      <c r="K128" s="137">
        <v>8</v>
      </c>
      <c r="L128" s="7">
        <f t="shared" si="16"/>
        <v>8</v>
      </c>
      <c r="M128" s="7"/>
      <c r="N128" s="139"/>
      <c r="O128" s="180"/>
      <c r="P128" s="158"/>
      <c r="Q128" s="155"/>
      <c r="R128" s="93"/>
      <c r="S128" s="93"/>
      <c r="T128" s="93"/>
      <c r="U128" s="93"/>
      <c r="V128" s="93"/>
    </row>
    <row r="129" spans="1:22" ht="20.05" customHeight="1" x14ac:dyDescent="0.45">
      <c r="A129" s="208"/>
      <c r="B129" s="235"/>
      <c r="C129" s="236"/>
      <c r="D129" s="208"/>
      <c r="E129" s="137" t="s">
        <v>38</v>
      </c>
      <c r="F129" s="137" t="s">
        <v>49</v>
      </c>
      <c r="G129" s="137"/>
      <c r="H129" s="208"/>
      <c r="I129" s="138"/>
      <c r="J129" s="226"/>
      <c r="K129" s="137"/>
      <c r="L129" s="141"/>
      <c r="M129" s="141"/>
      <c r="N129" s="139"/>
      <c r="O129" s="180"/>
      <c r="P129" s="158"/>
      <c r="Q129" s="155"/>
      <c r="R129" s="93"/>
      <c r="S129" s="93"/>
      <c r="T129" s="93"/>
      <c r="U129" s="93"/>
      <c r="V129" s="93"/>
    </row>
    <row r="130" spans="1:22" ht="17.05" customHeight="1" x14ac:dyDescent="0.45">
      <c r="A130" s="209"/>
      <c r="B130" s="237"/>
      <c r="C130" s="238"/>
      <c r="D130" s="209"/>
      <c r="E130" s="137" t="s">
        <v>40</v>
      </c>
      <c r="F130" s="137" t="s">
        <v>41</v>
      </c>
      <c r="G130" s="137">
        <v>1</v>
      </c>
      <c r="H130" s="209"/>
      <c r="I130" s="138">
        <v>1</v>
      </c>
      <c r="J130" s="227"/>
      <c r="K130" s="137">
        <v>8</v>
      </c>
      <c r="L130" s="141">
        <f t="shared" ref="L130:L134" si="17">G130*I130*K130</f>
        <v>8</v>
      </c>
      <c r="M130" s="141"/>
      <c r="N130" s="139"/>
      <c r="O130" s="180"/>
      <c r="P130" s="158"/>
      <c r="Q130" s="155"/>
      <c r="R130" s="93"/>
      <c r="S130" s="93"/>
      <c r="T130" s="93"/>
      <c r="U130" s="93"/>
      <c r="V130" s="93"/>
    </row>
    <row r="131" spans="1:22" ht="20.05" customHeight="1" x14ac:dyDescent="0.45">
      <c r="A131" s="207" t="s">
        <v>225</v>
      </c>
      <c r="B131" s="233" t="s">
        <v>226</v>
      </c>
      <c r="C131" s="234"/>
      <c r="D131" s="207" t="s">
        <v>227</v>
      </c>
      <c r="E131" s="137" t="s">
        <v>30</v>
      </c>
      <c r="F131" s="137" t="s">
        <v>41</v>
      </c>
      <c r="G131" s="137">
        <v>1</v>
      </c>
      <c r="H131" s="207" t="s">
        <v>141</v>
      </c>
      <c r="I131" s="138">
        <v>1</v>
      </c>
      <c r="J131" s="225" t="s">
        <v>228</v>
      </c>
      <c r="K131" s="137">
        <v>3</v>
      </c>
      <c r="L131" s="141">
        <f t="shared" si="17"/>
        <v>3</v>
      </c>
      <c r="M131" s="141"/>
      <c r="N131" s="210"/>
      <c r="O131" s="180"/>
      <c r="P131" s="158"/>
      <c r="Q131" s="155"/>
      <c r="R131" s="93"/>
      <c r="S131" s="93"/>
      <c r="T131" s="93"/>
      <c r="U131" s="93"/>
      <c r="V131" s="93"/>
    </row>
    <row r="132" spans="1:22" ht="20.05" customHeight="1" x14ac:dyDescent="0.45">
      <c r="A132" s="208"/>
      <c r="B132" s="235"/>
      <c r="C132" s="236"/>
      <c r="D132" s="208"/>
      <c r="E132" s="137" t="s">
        <v>38</v>
      </c>
      <c r="F132" s="137" t="s">
        <v>49</v>
      </c>
      <c r="G132" s="137"/>
      <c r="H132" s="208"/>
      <c r="I132" s="138"/>
      <c r="J132" s="226"/>
      <c r="K132" s="137"/>
      <c r="L132" s="141"/>
      <c r="M132" s="141"/>
      <c r="N132" s="210"/>
      <c r="O132" s="180"/>
      <c r="P132" s="158"/>
      <c r="Q132" s="155"/>
      <c r="R132" s="93"/>
      <c r="S132" s="93"/>
      <c r="T132" s="93"/>
      <c r="U132" s="93"/>
      <c r="V132" s="93"/>
    </row>
    <row r="133" spans="1:22" ht="15" customHeight="1" x14ac:dyDescent="0.45">
      <c r="A133" s="209"/>
      <c r="B133" s="237"/>
      <c r="C133" s="238"/>
      <c r="D133" s="209"/>
      <c r="E133" s="137" t="s">
        <v>40</v>
      </c>
      <c r="F133" s="137" t="s">
        <v>41</v>
      </c>
      <c r="G133" s="137">
        <v>1</v>
      </c>
      <c r="H133" s="209"/>
      <c r="I133" s="138">
        <v>1</v>
      </c>
      <c r="J133" s="226"/>
      <c r="K133" s="137">
        <v>3</v>
      </c>
      <c r="L133" s="141">
        <f t="shared" si="17"/>
        <v>3</v>
      </c>
      <c r="M133" s="141"/>
      <c r="N133" s="210"/>
      <c r="O133" s="180"/>
      <c r="P133" s="158"/>
      <c r="Q133" s="155"/>
      <c r="R133" s="93"/>
      <c r="S133" s="93"/>
      <c r="T133" s="93"/>
      <c r="U133" s="93"/>
      <c r="V133" s="93"/>
    </row>
    <row r="134" spans="1:22" ht="20.05" customHeight="1" x14ac:dyDescent="0.45">
      <c r="A134" s="207" t="s">
        <v>229</v>
      </c>
      <c r="B134" s="233" t="s">
        <v>230</v>
      </c>
      <c r="C134" s="234"/>
      <c r="D134" s="207" t="s">
        <v>227</v>
      </c>
      <c r="E134" s="137" t="s">
        <v>30</v>
      </c>
      <c r="F134" s="137" t="s">
        <v>41</v>
      </c>
      <c r="G134" s="137">
        <v>1</v>
      </c>
      <c r="H134" s="207" t="s">
        <v>141</v>
      </c>
      <c r="I134" s="138">
        <v>1</v>
      </c>
      <c r="J134" s="225" t="s">
        <v>231</v>
      </c>
      <c r="K134" s="137">
        <v>8</v>
      </c>
      <c r="L134" s="141">
        <f t="shared" si="17"/>
        <v>8</v>
      </c>
      <c r="M134" s="136"/>
      <c r="N134" s="207"/>
      <c r="O134" s="180"/>
      <c r="P134" s="158"/>
      <c r="Q134" s="155"/>
      <c r="R134" s="93"/>
      <c r="S134" s="93"/>
      <c r="T134" s="93"/>
      <c r="U134" s="93"/>
      <c r="V134" s="93"/>
    </row>
    <row r="135" spans="1:22" ht="20.05" customHeight="1" x14ac:dyDescent="0.45">
      <c r="A135" s="208"/>
      <c r="B135" s="235"/>
      <c r="C135" s="236"/>
      <c r="D135" s="208"/>
      <c r="E135" s="137" t="s">
        <v>38</v>
      </c>
      <c r="F135" s="137" t="s">
        <v>49</v>
      </c>
      <c r="G135" s="137"/>
      <c r="H135" s="208"/>
      <c r="I135" s="138"/>
      <c r="J135" s="226"/>
      <c r="K135" s="137"/>
      <c r="L135" s="141"/>
      <c r="M135" s="140"/>
      <c r="N135" s="208"/>
      <c r="O135" s="180"/>
      <c r="P135" s="158"/>
      <c r="Q135" s="155"/>
      <c r="R135" s="93"/>
      <c r="S135" s="93"/>
      <c r="T135" s="93"/>
      <c r="U135" s="93"/>
      <c r="V135" s="93"/>
    </row>
    <row r="136" spans="1:22" ht="16" customHeight="1" x14ac:dyDescent="0.45">
      <c r="A136" s="208"/>
      <c r="B136" s="235"/>
      <c r="C136" s="236"/>
      <c r="D136" s="209"/>
      <c r="E136" s="137">
        <v>1</v>
      </c>
      <c r="F136" s="137" t="s">
        <v>41</v>
      </c>
      <c r="G136" s="137">
        <v>1</v>
      </c>
      <c r="H136" s="209"/>
      <c r="I136" s="138">
        <v>1</v>
      </c>
      <c r="J136" s="226"/>
      <c r="K136" s="137">
        <v>8</v>
      </c>
      <c r="L136" s="141">
        <f t="shared" ref="L136:L138" si="18">G136*I136*K136</f>
        <v>8</v>
      </c>
      <c r="M136" s="142"/>
      <c r="N136" s="209"/>
      <c r="O136" s="180"/>
      <c r="P136" s="158"/>
      <c r="Q136" s="155"/>
      <c r="R136" s="93"/>
      <c r="S136" s="93"/>
      <c r="T136" s="93"/>
      <c r="U136" s="93"/>
      <c r="V136" s="93"/>
    </row>
    <row r="137" spans="1:22" ht="20.05" customHeight="1" x14ac:dyDescent="0.45">
      <c r="A137" s="207" t="s">
        <v>232</v>
      </c>
      <c r="B137" s="233" t="s">
        <v>233</v>
      </c>
      <c r="C137" s="234"/>
      <c r="D137" s="207" t="s">
        <v>234</v>
      </c>
      <c r="E137" s="137" t="s">
        <v>30</v>
      </c>
      <c r="F137" s="137" t="s">
        <v>41</v>
      </c>
      <c r="G137" s="137">
        <v>1</v>
      </c>
      <c r="H137" s="207" t="s">
        <v>141</v>
      </c>
      <c r="I137" s="138">
        <v>1</v>
      </c>
      <c r="J137" s="225" t="s">
        <v>231</v>
      </c>
      <c r="K137" s="137">
        <v>8</v>
      </c>
      <c r="L137" s="141">
        <f t="shared" si="18"/>
        <v>8</v>
      </c>
      <c r="M137" s="136"/>
      <c r="N137" s="207"/>
      <c r="O137" s="180"/>
      <c r="P137" s="158"/>
      <c r="Q137" s="155"/>
      <c r="R137" s="93"/>
      <c r="S137" s="93"/>
      <c r="T137" s="93"/>
      <c r="U137" s="93"/>
      <c r="V137" s="93"/>
    </row>
    <row r="138" spans="1:22" ht="20.05" customHeight="1" x14ac:dyDescent="0.45">
      <c r="A138" s="208"/>
      <c r="B138" s="235"/>
      <c r="C138" s="236"/>
      <c r="D138" s="208"/>
      <c r="E138" s="137" t="s">
        <v>38</v>
      </c>
      <c r="F138" s="137" t="s">
        <v>130</v>
      </c>
      <c r="G138" s="137">
        <v>1</v>
      </c>
      <c r="H138" s="208"/>
      <c r="I138" s="138">
        <v>2</v>
      </c>
      <c r="J138" s="226"/>
      <c r="K138" s="137">
        <v>8</v>
      </c>
      <c r="L138" s="141">
        <f t="shared" si="18"/>
        <v>16</v>
      </c>
      <c r="M138" s="140"/>
      <c r="N138" s="208"/>
      <c r="O138" s="180"/>
      <c r="P138" s="158"/>
      <c r="Q138" s="155"/>
      <c r="R138" s="93"/>
      <c r="S138" s="93"/>
      <c r="T138" s="93"/>
      <c r="U138" s="93"/>
      <c r="V138" s="93"/>
    </row>
    <row r="139" spans="1:22" ht="20.05" customHeight="1" x14ac:dyDescent="0.45">
      <c r="A139" s="208"/>
      <c r="B139" s="235"/>
      <c r="C139" s="236"/>
      <c r="D139" s="209"/>
      <c r="E139" s="137" t="s">
        <v>40</v>
      </c>
      <c r="F139" s="137" t="s">
        <v>41</v>
      </c>
      <c r="G139" s="137">
        <v>1</v>
      </c>
      <c r="H139" s="209"/>
      <c r="I139" s="138">
        <v>1</v>
      </c>
      <c r="J139" s="226"/>
      <c r="K139" s="137">
        <v>8</v>
      </c>
      <c r="L139" s="141">
        <f t="shared" ref="L139:L146" si="19">G139*I139*K139</f>
        <v>8</v>
      </c>
      <c r="M139" s="140"/>
      <c r="N139" s="208"/>
      <c r="O139" s="180"/>
      <c r="P139" s="158"/>
      <c r="Q139" s="155"/>
      <c r="R139" s="93"/>
      <c r="S139" s="93"/>
      <c r="T139" s="93"/>
      <c r="U139" s="93"/>
      <c r="V139" s="93"/>
    </row>
    <row r="140" spans="1:22" ht="16" customHeight="1" x14ac:dyDescent="0.45">
      <c r="A140" s="208"/>
      <c r="B140" s="235"/>
      <c r="C140" s="236"/>
      <c r="D140" s="207" t="s">
        <v>227</v>
      </c>
      <c r="E140" s="137" t="s">
        <v>30</v>
      </c>
      <c r="F140" s="137" t="s">
        <v>41</v>
      </c>
      <c r="G140" s="137">
        <v>1</v>
      </c>
      <c r="H140" s="207" t="s">
        <v>141</v>
      </c>
      <c r="I140" s="138">
        <v>1</v>
      </c>
      <c r="J140" s="226"/>
      <c r="K140" s="137">
        <v>8</v>
      </c>
      <c r="L140" s="141">
        <f t="shared" si="19"/>
        <v>8</v>
      </c>
      <c r="M140" s="140"/>
      <c r="N140" s="208"/>
      <c r="O140" s="180"/>
      <c r="P140" s="158"/>
      <c r="Q140" s="155"/>
      <c r="R140" s="93"/>
      <c r="S140" s="93"/>
      <c r="T140" s="93"/>
      <c r="U140" s="93"/>
      <c r="V140" s="93"/>
    </row>
    <row r="141" spans="1:22" ht="20.05" customHeight="1" x14ac:dyDescent="0.45">
      <c r="A141" s="208"/>
      <c r="B141" s="235"/>
      <c r="C141" s="236"/>
      <c r="D141" s="208"/>
      <c r="E141" s="137" t="s">
        <v>38</v>
      </c>
      <c r="F141" s="137" t="s">
        <v>49</v>
      </c>
      <c r="G141" s="137"/>
      <c r="H141" s="208"/>
      <c r="I141" s="138"/>
      <c r="J141" s="226"/>
      <c r="K141" s="137"/>
      <c r="L141" s="141"/>
      <c r="M141" s="140"/>
      <c r="N141" s="208"/>
      <c r="O141" s="180"/>
      <c r="P141" s="158"/>
      <c r="Q141" s="155"/>
      <c r="R141" s="93"/>
      <c r="S141" s="93"/>
      <c r="T141" s="93"/>
      <c r="U141" s="93"/>
      <c r="V141" s="93"/>
    </row>
    <row r="142" spans="1:22" ht="17.05" customHeight="1" x14ac:dyDescent="0.45">
      <c r="A142" s="209"/>
      <c r="B142" s="237"/>
      <c r="C142" s="238"/>
      <c r="D142" s="209"/>
      <c r="E142" s="137" t="s">
        <v>40</v>
      </c>
      <c r="F142" s="137" t="s">
        <v>41</v>
      </c>
      <c r="G142" s="137">
        <v>1</v>
      </c>
      <c r="H142" s="209"/>
      <c r="I142" s="138">
        <v>1</v>
      </c>
      <c r="J142" s="227"/>
      <c r="K142" s="137">
        <v>8</v>
      </c>
      <c r="L142" s="141">
        <f t="shared" si="19"/>
        <v>8</v>
      </c>
      <c r="M142" s="142"/>
      <c r="N142" s="209"/>
      <c r="O142" s="164"/>
      <c r="P142" s="158"/>
      <c r="Q142" s="155"/>
      <c r="R142" s="93"/>
      <c r="S142" s="93"/>
      <c r="T142" s="93"/>
      <c r="U142" s="93"/>
      <c r="V142" s="93"/>
    </row>
    <row r="143" spans="1:22" ht="20.05" customHeight="1" x14ac:dyDescent="0.45">
      <c r="A143" s="207" t="s">
        <v>235</v>
      </c>
      <c r="B143" s="233" t="s">
        <v>236</v>
      </c>
      <c r="C143" s="234"/>
      <c r="D143" s="207" t="s">
        <v>237</v>
      </c>
      <c r="E143" s="137" t="s">
        <v>30</v>
      </c>
      <c r="F143" s="137" t="s">
        <v>41</v>
      </c>
      <c r="G143" s="137">
        <v>1</v>
      </c>
      <c r="H143" s="207" t="s">
        <v>141</v>
      </c>
      <c r="I143" s="138">
        <v>1</v>
      </c>
      <c r="J143" s="225" t="s">
        <v>231</v>
      </c>
      <c r="K143" s="137">
        <v>8</v>
      </c>
      <c r="L143" s="141">
        <f t="shared" si="19"/>
        <v>8</v>
      </c>
      <c r="M143" s="136"/>
      <c r="N143" s="207"/>
      <c r="O143" s="154" t="s">
        <v>116</v>
      </c>
      <c r="P143" s="158"/>
      <c r="Q143" s="155"/>
      <c r="R143" s="93"/>
      <c r="S143" s="93"/>
      <c r="T143" s="93"/>
      <c r="U143" s="93"/>
      <c r="V143" s="93"/>
    </row>
    <row r="144" spans="1:22" ht="20.05" customHeight="1" x14ac:dyDescent="0.45">
      <c r="A144" s="208"/>
      <c r="B144" s="235"/>
      <c r="C144" s="236"/>
      <c r="D144" s="208"/>
      <c r="E144" s="137" t="s">
        <v>38</v>
      </c>
      <c r="F144" s="137" t="s">
        <v>130</v>
      </c>
      <c r="G144" s="137">
        <v>1</v>
      </c>
      <c r="H144" s="208"/>
      <c r="I144" s="138">
        <v>2</v>
      </c>
      <c r="J144" s="226"/>
      <c r="K144" s="137">
        <v>8</v>
      </c>
      <c r="L144" s="141">
        <f t="shared" si="19"/>
        <v>16</v>
      </c>
      <c r="M144" s="140"/>
      <c r="N144" s="208"/>
      <c r="O144" s="154"/>
      <c r="P144" s="158"/>
      <c r="Q144" s="155"/>
      <c r="R144" s="93"/>
      <c r="S144" s="93"/>
      <c r="T144" s="93"/>
      <c r="U144" s="93"/>
      <c r="V144" s="93"/>
    </row>
    <row r="145" spans="1:22" ht="20.05" customHeight="1" x14ac:dyDescent="0.45">
      <c r="A145" s="209"/>
      <c r="B145" s="237"/>
      <c r="C145" s="238"/>
      <c r="D145" s="209"/>
      <c r="E145" s="137" t="s">
        <v>40</v>
      </c>
      <c r="F145" s="137" t="s">
        <v>41</v>
      </c>
      <c r="G145" s="137">
        <v>1</v>
      </c>
      <c r="H145" s="209"/>
      <c r="I145" s="138">
        <v>1</v>
      </c>
      <c r="J145" s="226"/>
      <c r="K145" s="137">
        <v>9</v>
      </c>
      <c r="L145" s="141">
        <f t="shared" si="19"/>
        <v>9</v>
      </c>
      <c r="M145" s="142"/>
      <c r="N145" s="209"/>
      <c r="O145" s="154"/>
      <c r="P145" s="158"/>
      <c r="Q145" s="155"/>
      <c r="R145" s="93"/>
      <c r="S145" s="93"/>
      <c r="T145" s="93"/>
      <c r="U145" s="93"/>
      <c r="V145" s="93"/>
    </row>
    <row r="146" spans="1:22" ht="20.05" customHeight="1" x14ac:dyDescent="0.45">
      <c r="A146" s="210" t="s">
        <v>238</v>
      </c>
      <c r="B146" s="233" t="s">
        <v>239</v>
      </c>
      <c r="C146" s="234"/>
      <c r="D146" s="207" t="s">
        <v>240</v>
      </c>
      <c r="E146" s="137" t="s">
        <v>30</v>
      </c>
      <c r="F146" s="137" t="s">
        <v>41</v>
      </c>
      <c r="G146" s="137">
        <v>1</v>
      </c>
      <c r="H146" s="207" t="s">
        <v>141</v>
      </c>
      <c r="I146" s="138">
        <v>1</v>
      </c>
      <c r="J146" s="225" t="s">
        <v>241</v>
      </c>
      <c r="K146" s="137">
        <v>8</v>
      </c>
      <c r="L146" s="141">
        <f t="shared" si="19"/>
        <v>8</v>
      </c>
      <c r="M146" s="136"/>
      <c r="N146" s="207"/>
      <c r="O146" s="154"/>
      <c r="P146" s="158"/>
      <c r="Q146" s="155"/>
      <c r="R146" s="93"/>
      <c r="S146" s="93"/>
      <c r="T146" s="93"/>
      <c r="U146" s="93"/>
      <c r="V146" s="93"/>
    </row>
    <row r="147" spans="1:22" ht="20.05" customHeight="1" x14ac:dyDescent="0.45">
      <c r="A147" s="210"/>
      <c r="B147" s="235"/>
      <c r="C147" s="236"/>
      <c r="D147" s="208"/>
      <c r="E147" s="137" t="s">
        <v>38</v>
      </c>
      <c r="F147" s="137" t="s">
        <v>49</v>
      </c>
      <c r="G147" s="137"/>
      <c r="H147" s="208"/>
      <c r="I147" s="138"/>
      <c r="J147" s="226"/>
      <c r="K147" s="137"/>
      <c r="L147" s="141"/>
      <c r="M147" s="140"/>
      <c r="N147" s="208"/>
      <c r="O147" s="154"/>
      <c r="P147" s="158"/>
      <c r="Q147" s="155"/>
      <c r="R147" s="93"/>
      <c r="S147" s="93"/>
      <c r="T147" s="93"/>
      <c r="U147" s="93"/>
      <c r="V147" s="93"/>
    </row>
    <row r="148" spans="1:22" ht="18" customHeight="1" x14ac:dyDescent="0.45">
      <c r="A148" s="210"/>
      <c r="B148" s="237"/>
      <c r="C148" s="238"/>
      <c r="D148" s="209"/>
      <c r="E148" s="137" t="s">
        <v>40</v>
      </c>
      <c r="F148" s="137" t="s">
        <v>41</v>
      </c>
      <c r="G148" s="137">
        <v>1</v>
      </c>
      <c r="H148" s="209"/>
      <c r="I148" s="138">
        <v>1</v>
      </c>
      <c r="J148" s="226"/>
      <c r="K148" s="137">
        <v>8</v>
      </c>
      <c r="L148" s="141">
        <f>G148*I148*K148</f>
        <v>8</v>
      </c>
      <c r="M148" s="142"/>
      <c r="N148" s="209"/>
      <c r="O148" s="154"/>
      <c r="P148" s="158"/>
      <c r="Q148" s="155"/>
      <c r="R148" s="93"/>
      <c r="S148" s="93"/>
      <c r="T148" s="93"/>
      <c r="U148" s="93"/>
      <c r="V148" s="93"/>
    </row>
    <row r="149" spans="1:22" ht="20.05" customHeight="1" x14ac:dyDescent="0.45">
      <c r="A149" s="208" t="s">
        <v>242</v>
      </c>
      <c r="B149" s="233" t="s">
        <v>243</v>
      </c>
      <c r="C149" s="234"/>
      <c r="D149" s="207" t="s">
        <v>244</v>
      </c>
      <c r="E149" s="137" t="s">
        <v>30</v>
      </c>
      <c r="F149" s="137" t="s">
        <v>41</v>
      </c>
      <c r="G149" s="137">
        <v>1</v>
      </c>
      <c r="H149" s="207" t="s">
        <v>141</v>
      </c>
      <c r="I149" s="138">
        <v>5</v>
      </c>
      <c r="J149" s="225" t="s">
        <v>223</v>
      </c>
      <c r="K149" s="137">
        <v>8</v>
      </c>
      <c r="L149" s="141">
        <f t="shared" ref="L149:L165" si="20">G149*I149*K149</f>
        <v>40</v>
      </c>
      <c r="M149" s="141"/>
      <c r="N149" s="137"/>
      <c r="O149" s="154"/>
      <c r="P149" s="158"/>
      <c r="Q149" s="155"/>
      <c r="R149" s="93"/>
      <c r="S149" s="93"/>
      <c r="T149" s="93"/>
      <c r="U149" s="93"/>
      <c r="V149" s="93"/>
    </row>
    <row r="150" spans="1:22" ht="18" customHeight="1" x14ac:dyDescent="0.45">
      <c r="A150" s="208"/>
      <c r="B150" s="235"/>
      <c r="C150" s="236"/>
      <c r="D150" s="208"/>
      <c r="E150" s="137" t="s">
        <v>38</v>
      </c>
      <c r="F150" s="137" t="s">
        <v>130</v>
      </c>
      <c r="G150" s="137">
        <v>1</v>
      </c>
      <c r="H150" s="208"/>
      <c r="I150" s="138">
        <v>5</v>
      </c>
      <c r="J150" s="226"/>
      <c r="K150" s="137">
        <v>8</v>
      </c>
      <c r="L150" s="141">
        <f t="shared" si="20"/>
        <v>40</v>
      </c>
      <c r="M150" s="141"/>
      <c r="N150" s="137"/>
      <c r="O150" s="154"/>
      <c r="P150" s="158"/>
      <c r="Q150" s="155"/>
      <c r="R150" s="93"/>
      <c r="S150" s="93"/>
      <c r="T150" s="93"/>
      <c r="U150" s="93"/>
      <c r="V150" s="93"/>
    </row>
    <row r="151" spans="1:22" ht="17.05" customHeight="1" x14ac:dyDescent="0.45">
      <c r="A151" s="208"/>
      <c r="B151" s="235"/>
      <c r="C151" s="236"/>
      <c r="D151" s="209"/>
      <c r="E151" s="137" t="s">
        <v>40</v>
      </c>
      <c r="F151" s="137" t="s">
        <v>41</v>
      </c>
      <c r="G151" s="137">
        <v>1</v>
      </c>
      <c r="H151" s="209"/>
      <c r="I151" s="138">
        <v>5</v>
      </c>
      <c r="J151" s="226"/>
      <c r="K151" s="137">
        <v>8</v>
      </c>
      <c r="L151" s="141">
        <f t="shared" si="20"/>
        <v>40</v>
      </c>
      <c r="M151" s="141"/>
      <c r="N151" s="137"/>
      <c r="O151" s="154"/>
      <c r="P151" s="158"/>
      <c r="Q151" s="155"/>
      <c r="R151" s="93"/>
      <c r="S151" s="93"/>
      <c r="T151" s="93"/>
      <c r="U151" s="93"/>
      <c r="V151" s="93"/>
    </row>
    <row r="152" spans="1:22" ht="20.05" customHeight="1" x14ac:dyDescent="0.45">
      <c r="A152" s="208"/>
      <c r="B152" s="235"/>
      <c r="C152" s="236"/>
      <c r="D152" s="207" t="s">
        <v>234</v>
      </c>
      <c r="E152" s="137" t="s">
        <v>30</v>
      </c>
      <c r="F152" s="137" t="s">
        <v>41</v>
      </c>
      <c r="G152" s="137">
        <v>1</v>
      </c>
      <c r="H152" s="207" t="s">
        <v>141</v>
      </c>
      <c r="I152" s="138">
        <v>5</v>
      </c>
      <c r="J152" s="226"/>
      <c r="K152" s="137">
        <v>8</v>
      </c>
      <c r="L152" s="141">
        <f t="shared" si="20"/>
        <v>40</v>
      </c>
      <c r="M152" s="141"/>
      <c r="N152" s="137"/>
      <c r="O152" s="154"/>
      <c r="P152" s="158"/>
      <c r="Q152" s="155"/>
      <c r="R152" s="93"/>
      <c r="S152" s="93"/>
      <c r="T152" s="93"/>
      <c r="U152" s="93"/>
      <c r="V152" s="93"/>
    </row>
    <row r="153" spans="1:22" ht="20.05" customHeight="1" x14ac:dyDescent="0.45">
      <c r="A153" s="208"/>
      <c r="B153" s="235"/>
      <c r="C153" s="236"/>
      <c r="D153" s="208"/>
      <c r="E153" s="137" t="s">
        <v>38</v>
      </c>
      <c r="F153" s="137" t="s">
        <v>130</v>
      </c>
      <c r="G153" s="137">
        <v>1</v>
      </c>
      <c r="H153" s="208"/>
      <c r="I153" s="138">
        <v>5</v>
      </c>
      <c r="J153" s="226"/>
      <c r="K153" s="137">
        <v>8</v>
      </c>
      <c r="L153" s="141">
        <f t="shared" si="20"/>
        <v>40</v>
      </c>
      <c r="M153" s="141"/>
      <c r="N153" s="137"/>
      <c r="O153" s="154"/>
      <c r="P153" s="158"/>
      <c r="Q153" s="155"/>
      <c r="R153" s="93"/>
      <c r="S153" s="93"/>
      <c r="T153" s="93"/>
      <c r="U153" s="93"/>
      <c r="V153" s="93"/>
    </row>
    <row r="154" spans="1:22" ht="18" customHeight="1" x14ac:dyDescent="0.45">
      <c r="A154" s="208"/>
      <c r="B154" s="237"/>
      <c r="C154" s="238"/>
      <c r="D154" s="209"/>
      <c r="E154" s="137" t="s">
        <v>40</v>
      </c>
      <c r="F154" s="137" t="s">
        <v>41</v>
      </c>
      <c r="G154" s="137">
        <v>1</v>
      </c>
      <c r="H154" s="209"/>
      <c r="I154" s="138">
        <v>5</v>
      </c>
      <c r="J154" s="226"/>
      <c r="K154" s="137">
        <v>8</v>
      </c>
      <c r="L154" s="141">
        <f t="shared" si="20"/>
        <v>40</v>
      </c>
      <c r="M154" s="141"/>
      <c r="N154" s="137"/>
      <c r="O154" s="154"/>
      <c r="P154" s="158"/>
      <c r="Q154" s="155"/>
      <c r="R154" s="93"/>
      <c r="S154" s="93"/>
      <c r="T154" s="93"/>
      <c r="U154" s="93"/>
      <c r="V154" s="93"/>
    </row>
    <row r="155" spans="1:22" ht="20.05" customHeight="1" x14ac:dyDescent="0.45">
      <c r="A155" s="208"/>
      <c r="B155" s="233" t="s">
        <v>245</v>
      </c>
      <c r="C155" s="234"/>
      <c r="D155" s="207" t="s">
        <v>246</v>
      </c>
      <c r="E155" s="137" t="s">
        <v>30</v>
      </c>
      <c r="F155" s="137" t="s">
        <v>41</v>
      </c>
      <c r="G155" s="137">
        <v>1</v>
      </c>
      <c r="H155" s="207" t="s">
        <v>247</v>
      </c>
      <c r="I155" s="138">
        <v>5</v>
      </c>
      <c r="J155" s="226"/>
      <c r="K155" s="137">
        <v>8</v>
      </c>
      <c r="L155" s="141">
        <f t="shared" si="20"/>
        <v>40</v>
      </c>
      <c r="M155" s="141"/>
      <c r="N155" s="137"/>
      <c r="O155" s="154"/>
      <c r="P155" s="158"/>
      <c r="Q155" s="155"/>
      <c r="R155" s="93"/>
      <c r="S155" s="93"/>
      <c r="T155" s="93"/>
      <c r="U155" s="93"/>
      <c r="V155" s="93"/>
    </row>
    <row r="156" spans="1:22" ht="18" customHeight="1" x14ac:dyDescent="0.45">
      <c r="A156" s="208"/>
      <c r="B156" s="235"/>
      <c r="C156" s="236"/>
      <c r="D156" s="208"/>
      <c r="E156" s="137" t="s">
        <v>38</v>
      </c>
      <c r="F156" s="137" t="s">
        <v>49</v>
      </c>
      <c r="G156" s="137"/>
      <c r="H156" s="208"/>
      <c r="I156" s="138"/>
      <c r="J156" s="226"/>
      <c r="K156" s="137"/>
      <c r="L156" s="141"/>
      <c r="M156" s="141"/>
      <c r="N156" s="137"/>
      <c r="O156" s="154"/>
      <c r="P156" s="158"/>
      <c r="Q156" s="155"/>
      <c r="R156" s="93"/>
      <c r="S156" s="93"/>
      <c r="T156" s="93"/>
      <c r="U156" s="93"/>
      <c r="V156" s="93"/>
    </row>
    <row r="157" spans="1:22" ht="15" customHeight="1" x14ac:dyDescent="0.45">
      <c r="A157" s="209"/>
      <c r="B157" s="237"/>
      <c r="C157" s="238"/>
      <c r="D157" s="209"/>
      <c r="E157" s="137" t="s">
        <v>40</v>
      </c>
      <c r="F157" s="137" t="s">
        <v>41</v>
      </c>
      <c r="G157" s="137">
        <v>1</v>
      </c>
      <c r="H157" s="209"/>
      <c r="I157" s="138">
        <v>5</v>
      </c>
      <c r="J157" s="227"/>
      <c r="K157" s="137">
        <v>8</v>
      </c>
      <c r="L157" s="141">
        <f t="shared" si="20"/>
        <v>40</v>
      </c>
      <c r="M157" s="141"/>
      <c r="N157" s="137"/>
      <c r="O157" s="154"/>
      <c r="P157" s="158"/>
      <c r="Q157" s="155"/>
      <c r="R157" s="93"/>
      <c r="S157" s="93"/>
      <c r="T157" s="93"/>
      <c r="U157" s="93"/>
      <c r="V157" s="93"/>
    </row>
    <row r="158" spans="1:22" ht="15" customHeight="1" x14ac:dyDescent="0.45">
      <c r="A158" s="207" t="s">
        <v>248</v>
      </c>
      <c r="B158" s="233" t="s">
        <v>249</v>
      </c>
      <c r="C158" s="234"/>
      <c r="D158" s="207" t="s">
        <v>250</v>
      </c>
      <c r="E158" s="137" t="s">
        <v>30</v>
      </c>
      <c r="F158" s="137" t="s">
        <v>41</v>
      </c>
      <c r="G158" s="137">
        <v>1</v>
      </c>
      <c r="H158" s="207" t="s">
        <v>141</v>
      </c>
      <c r="I158" s="138">
        <v>1</v>
      </c>
      <c r="J158" s="225" t="s">
        <v>251</v>
      </c>
      <c r="K158" s="137">
        <v>8</v>
      </c>
      <c r="L158" s="141">
        <f t="shared" si="20"/>
        <v>8</v>
      </c>
      <c r="M158" s="141"/>
      <c r="N158" s="137"/>
      <c r="O158" s="154"/>
      <c r="P158" s="201"/>
      <c r="Q158" s="158"/>
      <c r="R158" s="93"/>
      <c r="S158" s="93"/>
      <c r="T158" s="93"/>
      <c r="U158" s="93"/>
      <c r="V158" s="93"/>
    </row>
    <row r="159" spans="1:22" ht="15" customHeight="1" x14ac:dyDescent="0.45">
      <c r="A159" s="208"/>
      <c r="B159" s="235"/>
      <c r="C159" s="236"/>
      <c r="D159" s="208"/>
      <c r="E159" s="137" t="s">
        <v>38</v>
      </c>
      <c r="F159" s="137" t="s">
        <v>130</v>
      </c>
      <c r="G159" s="137">
        <v>1</v>
      </c>
      <c r="H159" s="208"/>
      <c r="I159" s="138">
        <v>1</v>
      </c>
      <c r="J159" s="226"/>
      <c r="K159" s="137">
        <v>8</v>
      </c>
      <c r="L159" s="141">
        <f t="shared" si="20"/>
        <v>8</v>
      </c>
      <c r="M159" s="141"/>
      <c r="N159" s="137"/>
      <c r="O159" s="154"/>
      <c r="P159" s="201"/>
      <c r="Q159" s="158"/>
      <c r="R159" s="93"/>
      <c r="S159" s="93"/>
      <c r="T159" s="93"/>
      <c r="U159" s="93"/>
      <c r="V159" s="93"/>
    </row>
    <row r="160" spans="1:22" ht="15" customHeight="1" x14ac:dyDescent="0.45">
      <c r="A160" s="208"/>
      <c r="B160" s="237"/>
      <c r="C160" s="238"/>
      <c r="D160" s="209"/>
      <c r="E160" s="137" t="s">
        <v>40</v>
      </c>
      <c r="F160" s="137" t="s">
        <v>41</v>
      </c>
      <c r="G160" s="137">
        <v>1</v>
      </c>
      <c r="H160" s="209"/>
      <c r="I160" s="138">
        <v>1</v>
      </c>
      <c r="J160" s="227"/>
      <c r="K160" s="137">
        <v>8</v>
      </c>
      <c r="L160" s="141">
        <f t="shared" si="20"/>
        <v>8</v>
      </c>
      <c r="M160" s="141"/>
      <c r="N160" s="137"/>
      <c r="O160" s="154"/>
      <c r="P160" s="201"/>
      <c r="Q160" s="158"/>
      <c r="R160" s="93"/>
      <c r="S160" s="93"/>
      <c r="T160" s="93"/>
      <c r="U160" s="93"/>
      <c r="V160" s="93"/>
    </row>
    <row r="161" spans="1:22" ht="20.05" customHeight="1" x14ac:dyDescent="0.45">
      <c r="A161" s="210" t="s">
        <v>252</v>
      </c>
      <c r="B161" s="210" t="s">
        <v>253</v>
      </c>
      <c r="C161" s="210"/>
      <c r="D161" s="210" t="s">
        <v>227</v>
      </c>
      <c r="E161" s="137" t="s">
        <v>30</v>
      </c>
      <c r="F161" s="137" t="s">
        <v>41</v>
      </c>
      <c r="G161" s="137">
        <v>1</v>
      </c>
      <c r="H161" s="210" t="s">
        <v>141</v>
      </c>
      <c r="I161" s="137">
        <v>1</v>
      </c>
      <c r="J161" s="225" t="s">
        <v>254</v>
      </c>
      <c r="K161" s="137">
        <v>8</v>
      </c>
      <c r="L161" s="137">
        <f t="shared" si="20"/>
        <v>8</v>
      </c>
      <c r="M161" s="137"/>
      <c r="N161" s="137"/>
      <c r="O161" s="154"/>
      <c r="P161" s="155"/>
      <c r="Q161" s="155"/>
      <c r="R161" s="93"/>
      <c r="S161" s="93"/>
      <c r="T161" s="93"/>
      <c r="U161" s="93"/>
      <c r="V161" s="93"/>
    </row>
    <row r="162" spans="1:22" ht="20.05" customHeight="1" x14ac:dyDescent="0.45">
      <c r="A162" s="210"/>
      <c r="B162" s="210"/>
      <c r="C162" s="210"/>
      <c r="D162" s="210"/>
      <c r="E162" s="137" t="s">
        <v>38</v>
      </c>
      <c r="F162" s="137" t="s">
        <v>130</v>
      </c>
      <c r="G162" s="137">
        <v>1</v>
      </c>
      <c r="H162" s="210"/>
      <c r="I162" s="137">
        <v>1</v>
      </c>
      <c r="J162" s="226"/>
      <c r="K162" s="137">
        <v>8</v>
      </c>
      <c r="L162" s="137">
        <f t="shared" si="20"/>
        <v>8</v>
      </c>
      <c r="M162" s="137"/>
      <c r="N162" s="137"/>
      <c r="O162" s="154"/>
      <c r="P162" s="155"/>
      <c r="Q162" s="155"/>
      <c r="R162" s="93"/>
      <c r="S162" s="93"/>
      <c r="T162" s="93"/>
      <c r="U162" s="93"/>
      <c r="V162" s="93"/>
    </row>
    <row r="163" spans="1:22" ht="16" customHeight="1" x14ac:dyDescent="0.45">
      <c r="A163" s="210"/>
      <c r="B163" s="210"/>
      <c r="C163" s="210"/>
      <c r="D163" s="210"/>
      <c r="E163" s="137" t="s">
        <v>40</v>
      </c>
      <c r="F163" s="137" t="s">
        <v>41</v>
      </c>
      <c r="G163" s="137">
        <v>1</v>
      </c>
      <c r="H163" s="210"/>
      <c r="I163" s="137">
        <v>1</v>
      </c>
      <c r="J163" s="227"/>
      <c r="K163" s="137">
        <v>8</v>
      </c>
      <c r="L163" s="137">
        <f t="shared" si="20"/>
        <v>8</v>
      </c>
      <c r="M163" s="137"/>
      <c r="N163" s="137"/>
      <c r="O163" s="154"/>
      <c r="P163" s="155"/>
      <c r="Q163" s="155"/>
      <c r="R163" s="93"/>
      <c r="S163" s="93"/>
      <c r="T163" s="93"/>
      <c r="U163" s="93"/>
      <c r="V163" s="93"/>
    </row>
    <row r="164" spans="1:22" ht="20.05" customHeight="1" x14ac:dyDescent="0.45">
      <c r="A164" s="210" t="s">
        <v>255</v>
      </c>
      <c r="B164" s="210" t="s">
        <v>256</v>
      </c>
      <c r="C164" s="210"/>
      <c r="D164" s="210" t="s">
        <v>257</v>
      </c>
      <c r="E164" s="137" t="s">
        <v>30</v>
      </c>
      <c r="F164" s="137" t="s">
        <v>41</v>
      </c>
      <c r="G164" s="137">
        <v>1</v>
      </c>
      <c r="H164" s="210" t="s">
        <v>258</v>
      </c>
      <c r="I164" s="137">
        <v>1</v>
      </c>
      <c r="J164" s="228" t="s">
        <v>223</v>
      </c>
      <c r="K164" s="137">
        <v>8</v>
      </c>
      <c r="L164" s="137">
        <f t="shared" si="20"/>
        <v>8</v>
      </c>
      <c r="M164" s="137"/>
      <c r="N164" s="137"/>
      <c r="O164" s="93"/>
      <c r="P164" s="155"/>
      <c r="Q164" s="155"/>
      <c r="R164" s="93"/>
      <c r="S164" s="93"/>
      <c r="T164" s="93"/>
      <c r="U164" s="93"/>
      <c r="V164" s="93"/>
    </row>
    <row r="165" spans="1:22" ht="20.05" customHeight="1" x14ac:dyDescent="0.45">
      <c r="A165" s="210"/>
      <c r="B165" s="210"/>
      <c r="C165" s="210"/>
      <c r="D165" s="210"/>
      <c r="E165" s="137" t="s">
        <v>38</v>
      </c>
      <c r="F165" s="137" t="s">
        <v>130</v>
      </c>
      <c r="G165" s="137">
        <v>1</v>
      </c>
      <c r="H165" s="210"/>
      <c r="I165" s="137">
        <v>1</v>
      </c>
      <c r="J165" s="228"/>
      <c r="K165" s="137">
        <v>8</v>
      </c>
      <c r="L165" s="137">
        <f t="shared" si="20"/>
        <v>8</v>
      </c>
      <c r="M165" s="137"/>
      <c r="N165" s="137"/>
      <c r="O165" s="93"/>
      <c r="P165" s="155"/>
      <c r="Q165" s="155"/>
      <c r="R165" s="93"/>
      <c r="S165" s="93"/>
      <c r="T165" s="93"/>
      <c r="U165" s="93"/>
      <c r="V165" s="93"/>
    </row>
    <row r="166" spans="1:22" ht="20.05" customHeight="1" x14ac:dyDescent="0.45">
      <c r="A166" s="210"/>
      <c r="B166" s="210"/>
      <c r="C166" s="210"/>
      <c r="D166" s="210"/>
      <c r="E166" s="137" t="s">
        <v>40</v>
      </c>
      <c r="F166" s="137" t="s">
        <v>41</v>
      </c>
      <c r="G166" s="137">
        <v>1</v>
      </c>
      <c r="H166" s="210"/>
      <c r="I166" s="137">
        <v>1</v>
      </c>
      <c r="J166" s="228"/>
      <c r="K166" s="137">
        <v>8</v>
      </c>
      <c r="L166" s="137">
        <f t="shared" ref="L166:L171" si="21">G166*I166*K166</f>
        <v>8</v>
      </c>
      <c r="M166" s="137"/>
      <c r="N166" s="137"/>
      <c r="O166" s="93"/>
      <c r="P166" s="155"/>
      <c r="Q166" s="155"/>
      <c r="R166" s="93"/>
      <c r="S166" s="93"/>
      <c r="T166" s="93"/>
      <c r="U166" s="93"/>
      <c r="V166" s="93"/>
    </row>
    <row r="167" spans="1:22" ht="20.05" customHeight="1" x14ac:dyDescent="0.45">
      <c r="A167" s="210"/>
      <c r="B167" s="210" t="s">
        <v>259</v>
      </c>
      <c r="C167" s="210"/>
      <c r="D167" s="210" t="s">
        <v>260</v>
      </c>
      <c r="E167" s="137" t="s">
        <v>30</v>
      </c>
      <c r="F167" s="137" t="s">
        <v>41</v>
      </c>
      <c r="G167" s="137">
        <v>1</v>
      </c>
      <c r="H167" s="210" t="s">
        <v>258</v>
      </c>
      <c r="I167" s="137">
        <v>1</v>
      </c>
      <c r="J167" s="228"/>
      <c r="K167" s="137">
        <v>8</v>
      </c>
      <c r="L167" s="137">
        <f t="shared" si="21"/>
        <v>8</v>
      </c>
      <c r="M167" s="137"/>
      <c r="N167" s="137"/>
      <c r="O167" s="93"/>
      <c r="P167" s="155"/>
      <c r="Q167" s="155"/>
      <c r="R167" s="93"/>
      <c r="S167" s="93"/>
      <c r="T167" s="93"/>
      <c r="U167" s="93"/>
      <c r="V167" s="93"/>
    </row>
    <row r="168" spans="1:22" ht="20.05" customHeight="1" x14ac:dyDescent="0.45">
      <c r="A168" s="210"/>
      <c r="B168" s="210"/>
      <c r="C168" s="210"/>
      <c r="D168" s="210"/>
      <c r="E168" s="137" t="s">
        <v>38</v>
      </c>
      <c r="F168" s="137" t="s">
        <v>130</v>
      </c>
      <c r="G168" s="137">
        <v>1</v>
      </c>
      <c r="H168" s="210"/>
      <c r="I168" s="137">
        <v>1</v>
      </c>
      <c r="J168" s="228"/>
      <c r="K168" s="137">
        <v>8</v>
      </c>
      <c r="L168" s="137">
        <f t="shared" si="21"/>
        <v>8</v>
      </c>
      <c r="M168" s="137"/>
      <c r="N168" s="137"/>
      <c r="O168" s="93"/>
      <c r="P168" s="155"/>
      <c r="Q168" s="155"/>
      <c r="R168" s="93"/>
      <c r="S168" s="93"/>
      <c r="T168" s="93"/>
      <c r="U168" s="93"/>
      <c r="V168" s="93"/>
    </row>
    <row r="169" spans="1:22" ht="20.05" customHeight="1" x14ac:dyDescent="0.45">
      <c r="A169" s="210"/>
      <c r="B169" s="210"/>
      <c r="C169" s="210"/>
      <c r="D169" s="210"/>
      <c r="E169" s="137" t="s">
        <v>40</v>
      </c>
      <c r="F169" s="137" t="s">
        <v>41</v>
      </c>
      <c r="G169" s="137">
        <v>1</v>
      </c>
      <c r="H169" s="210"/>
      <c r="I169" s="137">
        <v>1</v>
      </c>
      <c r="J169" s="228"/>
      <c r="K169" s="137">
        <v>8</v>
      </c>
      <c r="L169" s="137">
        <f t="shared" si="21"/>
        <v>8</v>
      </c>
      <c r="M169" s="137"/>
      <c r="N169" s="137"/>
      <c r="O169" s="93"/>
      <c r="P169" s="155"/>
      <c r="Q169" s="155"/>
      <c r="R169" s="93"/>
      <c r="S169" s="93"/>
      <c r="T169" s="93"/>
      <c r="U169" s="93"/>
      <c r="V169" s="93"/>
    </row>
    <row r="170" spans="1:22" ht="20.05" customHeight="1" x14ac:dyDescent="0.45">
      <c r="A170" s="154" t="s">
        <v>261</v>
      </c>
      <c r="B170" s="210" t="s">
        <v>262</v>
      </c>
      <c r="C170" s="210"/>
      <c r="D170" s="210" t="s">
        <v>263</v>
      </c>
      <c r="E170" s="137" t="s">
        <v>30</v>
      </c>
      <c r="F170" s="137" t="s">
        <v>41</v>
      </c>
      <c r="G170" s="137">
        <v>1</v>
      </c>
      <c r="H170" s="210" t="s">
        <v>141</v>
      </c>
      <c r="I170" s="137">
        <v>1</v>
      </c>
      <c r="J170" s="225" t="s">
        <v>228</v>
      </c>
      <c r="K170" s="137">
        <v>8</v>
      </c>
      <c r="L170" s="137">
        <f t="shared" si="21"/>
        <v>8</v>
      </c>
      <c r="M170" s="137"/>
      <c r="N170" s="137"/>
      <c r="O170" s="93"/>
      <c r="P170" s="155"/>
      <c r="Q170" s="155"/>
      <c r="R170" s="93"/>
      <c r="S170" s="93"/>
      <c r="T170" s="93"/>
      <c r="U170" s="93"/>
      <c r="V170" s="93"/>
    </row>
    <row r="171" spans="1:22" ht="20.05" customHeight="1" x14ac:dyDescent="0.45">
      <c r="A171" s="154"/>
      <c r="B171" s="210"/>
      <c r="C171" s="210"/>
      <c r="D171" s="210"/>
      <c r="E171" s="137" t="s">
        <v>38</v>
      </c>
      <c r="F171" s="137" t="s">
        <v>130</v>
      </c>
      <c r="G171" s="137">
        <v>1</v>
      </c>
      <c r="H171" s="210"/>
      <c r="I171" s="137">
        <v>1</v>
      </c>
      <c r="J171" s="226"/>
      <c r="K171" s="137">
        <v>8</v>
      </c>
      <c r="L171" s="137">
        <f t="shared" si="21"/>
        <v>8</v>
      </c>
      <c r="M171" s="137"/>
      <c r="N171" s="137"/>
      <c r="O171" s="93"/>
      <c r="P171" s="155"/>
      <c r="Q171" s="155"/>
      <c r="R171" s="93"/>
      <c r="S171" s="93"/>
      <c r="T171" s="93"/>
      <c r="U171" s="93"/>
      <c r="V171" s="93"/>
    </row>
    <row r="172" spans="1:22" ht="18" customHeight="1" x14ac:dyDescent="0.45">
      <c r="A172" s="154"/>
      <c r="B172" s="210"/>
      <c r="C172" s="210"/>
      <c r="D172" s="210"/>
      <c r="E172" s="137" t="s">
        <v>40</v>
      </c>
      <c r="F172" s="137" t="s">
        <v>41</v>
      </c>
      <c r="G172" s="137">
        <v>1</v>
      </c>
      <c r="H172" s="210"/>
      <c r="I172" s="137">
        <v>1</v>
      </c>
      <c r="J172" s="227"/>
      <c r="K172" s="137">
        <v>8</v>
      </c>
      <c r="L172" s="137">
        <f t="shared" ref="L172:L182" si="22">G172*I172*K172</f>
        <v>8</v>
      </c>
      <c r="M172" s="137"/>
      <c r="N172" s="137"/>
      <c r="O172" s="93"/>
      <c r="P172" s="155"/>
      <c r="Q172" s="155"/>
      <c r="R172" s="93"/>
      <c r="S172" s="93"/>
      <c r="T172" s="93"/>
      <c r="U172" s="93"/>
      <c r="V172" s="93"/>
    </row>
    <row r="173" spans="1:22" ht="20.05" customHeight="1" x14ac:dyDescent="0.45">
      <c r="A173" s="210" t="s">
        <v>264</v>
      </c>
      <c r="B173" s="210" t="s">
        <v>265</v>
      </c>
      <c r="C173" s="210"/>
      <c r="D173" s="210" t="s">
        <v>266</v>
      </c>
      <c r="E173" s="137" t="s">
        <v>30</v>
      </c>
      <c r="F173" s="137" t="s">
        <v>41</v>
      </c>
      <c r="G173" s="137">
        <v>1</v>
      </c>
      <c r="H173" s="210" t="s">
        <v>267</v>
      </c>
      <c r="I173" s="137">
        <v>1</v>
      </c>
      <c r="J173" s="225" t="s">
        <v>251</v>
      </c>
      <c r="K173" s="137">
        <v>8</v>
      </c>
      <c r="L173" s="137">
        <f t="shared" si="22"/>
        <v>8</v>
      </c>
      <c r="M173" s="137"/>
      <c r="N173" s="137"/>
      <c r="O173" s="93"/>
      <c r="P173" s="155"/>
      <c r="Q173" s="155"/>
      <c r="R173" s="93"/>
      <c r="S173" s="93"/>
      <c r="T173" s="93"/>
      <c r="U173" s="93"/>
      <c r="V173" s="93"/>
    </row>
    <row r="174" spans="1:22" ht="20.05" customHeight="1" x14ac:dyDescent="0.45">
      <c r="A174" s="210"/>
      <c r="B174" s="210"/>
      <c r="C174" s="210"/>
      <c r="D174" s="210"/>
      <c r="E174" s="137" t="s">
        <v>38</v>
      </c>
      <c r="F174" s="137" t="s">
        <v>130</v>
      </c>
      <c r="G174" s="137">
        <v>1</v>
      </c>
      <c r="H174" s="210"/>
      <c r="I174" s="137">
        <v>1</v>
      </c>
      <c r="J174" s="226"/>
      <c r="K174" s="137">
        <v>8</v>
      </c>
      <c r="L174" s="137">
        <f t="shared" si="22"/>
        <v>8</v>
      </c>
      <c r="M174" s="137"/>
      <c r="N174" s="137"/>
      <c r="O174" s="93"/>
      <c r="P174" s="155"/>
      <c r="Q174" s="155"/>
      <c r="R174" s="93"/>
      <c r="S174" s="93"/>
      <c r="T174" s="93"/>
      <c r="U174" s="93"/>
      <c r="V174" s="93"/>
    </row>
    <row r="175" spans="1:22" ht="16" customHeight="1" x14ac:dyDescent="0.45">
      <c r="A175" s="210"/>
      <c r="B175" s="210"/>
      <c r="C175" s="210"/>
      <c r="D175" s="210"/>
      <c r="E175" s="137" t="s">
        <v>40</v>
      </c>
      <c r="F175" s="137" t="s">
        <v>41</v>
      </c>
      <c r="G175" s="137">
        <v>1</v>
      </c>
      <c r="H175" s="210"/>
      <c r="I175" s="137">
        <v>1</v>
      </c>
      <c r="J175" s="227"/>
      <c r="K175" s="137">
        <v>8</v>
      </c>
      <c r="L175" s="137">
        <f t="shared" si="22"/>
        <v>8</v>
      </c>
      <c r="M175" s="137"/>
      <c r="N175" s="137"/>
      <c r="O175" s="93"/>
      <c r="P175" s="155"/>
      <c r="Q175" s="155"/>
      <c r="R175" s="93"/>
      <c r="S175" s="93"/>
      <c r="T175" s="93"/>
      <c r="U175" s="93"/>
      <c r="V175" s="93"/>
    </row>
    <row r="176" spans="1:22" ht="16" customHeight="1" x14ac:dyDescent="0.45">
      <c r="A176" s="210" t="s">
        <v>268</v>
      </c>
      <c r="B176" s="210" t="s">
        <v>269</v>
      </c>
      <c r="C176" s="210"/>
      <c r="D176" s="210" t="s">
        <v>270</v>
      </c>
      <c r="E176" s="137" t="s">
        <v>30</v>
      </c>
      <c r="F176" s="137" t="s">
        <v>41</v>
      </c>
      <c r="G176" s="137">
        <v>1</v>
      </c>
      <c r="H176" s="210" t="s">
        <v>267</v>
      </c>
      <c r="I176" s="137">
        <v>1</v>
      </c>
      <c r="J176" s="228" t="s">
        <v>223</v>
      </c>
      <c r="K176" s="137">
        <v>8</v>
      </c>
      <c r="L176" s="137">
        <f t="shared" si="22"/>
        <v>8</v>
      </c>
      <c r="M176" s="137"/>
      <c r="N176" s="137"/>
      <c r="O176" s="93"/>
      <c r="P176" s="155"/>
      <c r="Q176" s="155"/>
      <c r="R176" s="93"/>
      <c r="S176" s="93"/>
      <c r="T176" s="93"/>
      <c r="U176" s="93"/>
      <c r="V176" s="93"/>
    </row>
    <row r="177" spans="1:22" ht="17.05" customHeight="1" x14ac:dyDescent="0.45">
      <c r="A177" s="210"/>
      <c r="B177" s="210"/>
      <c r="C177" s="210"/>
      <c r="D177" s="210"/>
      <c r="E177" s="137" t="s">
        <v>38</v>
      </c>
      <c r="F177" s="137" t="s">
        <v>130</v>
      </c>
      <c r="G177" s="137">
        <v>1</v>
      </c>
      <c r="H177" s="210"/>
      <c r="I177" s="137">
        <v>1</v>
      </c>
      <c r="J177" s="228"/>
      <c r="K177" s="137">
        <v>8</v>
      </c>
      <c r="L177" s="137">
        <f t="shared" si="22"/>
        <v>8</v>
      </c>
      <c r="M177" s="137"/>
      <c r="N177" s="137"/>
      <c r="O177" s="93"/>
      <c r="P177" s="155"/>
      <c r="Q177" s="155"/>
      <c r="R177" s="93"/>
      <c r="S177" s="93"/>
      <c r="T177" s="93"/>
      <c r="U177" s="93"/>
      <c r="V177" s="93"/>
    </row>
    <row r="178" spans="1:22" ht="15" customHeight="1" x14ac:dyDescent="0.45">
      <c r="A178" s="210"/>
      <c r="B178" s="210"/>
      <c r="C178" s="210"/>
      <c r="D178" s="210"/>
      <c r="E178" s="137" t="s">
        <v>40</v>
      </c>
      <c r="F178" s="137" t="s">
        <v>41</v>
      </c>
      <c r="G178" s="137">
        <v>1</v>
      </c>
      <c r="H178" s="210"/>
      <c r="I178" s="137">
        <v>1</v>
      </c>
      <c r="J178" s="228"/>
      <c r="K178" s="137">
        <v>8</v>
      </c>
      <c r="L178" s="137">
        <f t="shared" si="22"/>
        <v>8</v>
      </c>
      <c r="M178" s="137"/>
      <c r="N178" s="137"/>
      <c r="O178" s="93"/>
      <c r="P178" s="155"/>
      <c r="Q178" s="155"/>
      <c r="R178" s="93"/>
      <c r="S178" s="93"/>
      <c r="T178" s="93"/>
      <c r="U178" s="93"/>
      <c r="V178" s="93"/>
    </row>
    <row r="179" spans="1:22" ht="20.05" customHeight="1" x14ac:dyDescent="0.45">
      <c r="A179" s="210"/>
      <c r="B179" s="210" t="s">
        <v>271</v>
      </c>
      <c r="C179" s="210"/>
      <c r="D179" s="210" t="s">
        <v>272</v>
      </c>
      <c r="E179" s="137" t="s">
        <v>30</v>
      </c>
      <c r="F179" s="137" t="s">
        <v>41</v>
      </c>
      <c r="G179" s="137">
        <v>1</v>
      </c>
      <c r="H179" s="210" t="s">
        <v>141</v>
      </c>
      <c r="I179" s="137">
        <v>1</v>
      </c>
      <c r="J179" s="228"/>
      <c r="K179" s="137">
        <v>8</v>
      </c>
      <c r="L179" s="137">
        <f t="shared" si="22"/>
        <v>8</v>
      </c>
      <c r="M179" s="137"/>
      <c r="N179" s="137"/>
      <c r="O179" s="93"/>
      <c r="P179" s="155"/>
      <c r="Q179" s="155"/>
      <c r="R179" s="93"/>
      <c r="S179" s="93"/>
      <c r="T179" s="93"/>
      <c r="U179" s="93"/>
      <c r="V179" s="93"/>
    </row>
    <row r="180" spans="1:22" ht="16" customHeight="1" x14ac:dyDescent="0.45">
      <c r="A180" s="210"/>
      <c r="B180" s="210"/>
      <c r="C180" s="210"/>
      <c r="D180" s="210"/>
      <c r="E180" s="137" t="s">
        <v>38</v>
      </c>
      <c r="F180" s="137" t="s">
        <v>130</v>
      </c>
      <c r="G180" s="137">
        <v>1</v>
      </c>
      <c r="H180" s="210"/>
      <c r="I180" s="137">
        <v>1</v>
      </c>
      <c r="J180" s="228"/>
      <c r="K180" s="137">
        <v>8</v>
      </c>
      <c r="L180" s="137">
        <f t="shared" si="22"/>
        <v>8</v>
      </c>
      <c r="M180" s="137"/>
      <c r="N180" s="137"/>
      <c r="O180" s="93"/>
      <c r="P180" s="155"/>
      <c r="Q180" s="155"/>
      <c r="R180" s="93"/>
      <c r="S180" s="93"/>
      <c r="T180" s="93"/>
      <c r="U180" s="93"/>
      <c r="V180" s="93"/>
    </row>
    <row r="181" spans="1:22" ht="20.05" customHeight="1" x14ac:dyDescent="0.45">
      <c r="A181" s="210"/>
      <c r="B181" s="210"/>
      <c r="C181" s="210"/>
      <c r="D181" s="210"/>
      <c r="E181" s="137" t="s">
        <v>40</v>
      </c>
      <c r="F181" s="137" t="s">
        <v>41</v>
      </c>
      <c r="G181" s="137">
        <v>1</v>
      </c>
      <c r="H181" s="210"/>
      <c r="I181" s="137">
        <v>1</v>
      </c>
      <c r="J181" s="228"/>
      <c r="K181" s="137">
        <v>8</v>
      </c>
      <c r="L181" s="137">
        <f t="shared" si="22"/>
        <v>8</v>
      </c>
      <c r="M181" s="137"/>
      <c r="N181" s="137"/>
      <c r="O181" s="93"/>
      <c r="P181" s="155"/>
      <c r="Q181" s="155"/>
      <c r="R181" s="93"/>
      <c r="S181" s="93"/>
      <c r="T181" s="93"/>
      <c r="U181" s="93"/>
      <c r="V181" s="93"/>
    </row>
    <row r="182" spans="1:22" ht="20.05" customHeight="1" x14ac:dyDescent="0.45">
      <c r="A182" s="210" t="s">
        <v>273</v>
      </c>
      <c r="B182" s="210" t="s">
        <v>274</v>
      </c>
      <c r="C182" s="210"/>
      <c r="D182" s="210" t="s">
        <v>275</v>
      </c>
      <c r="E182" s="137" t="s">
        <v>30</v>
      </c>
      <c r="F182" s="137" t="s">
        <v>41</v>
      </c>
      <c r="G182" s="137">
        <v>1</v>
      </c>
      <c r="H182" s="210" t="s">
        <v>276</v>
      </c>
      <c r="I182" s="137">
        <v>1</v>
      </c>
      <c r="J182" s="225" t="s">
        <v>251</v>
      </c>
      <c r="K182" s="137">
        <v>8</v>
      </c>
      <c r="L182" s="137">
        <f t="shared" si="22"/>
        <v>8</v>
      </c>
      <c r="M182" s="137"/>
      <c r="N182" s="137"/>
      <c r="O182" s="93"/>
      <c r="P182" s="155"/>
      <c r="Q182" s="155"/>
      <c r="R182" s="93"/>
      <c r="S182" s="93"/>
      <c r="T182" s="93"/>
      <c r="U182" s="93"/>
      <c r="V182" s="93"/>
    </row>
    <row r="183" spans="1:22" ht="20.05" customHeight="1" x14ac:dyDescent="0.45">
      <c r="A183" s="210"/>
      <c r="B183" s="210"/>
      <c r="C183" s="210"/>
      <c r="D183" s="210"/>
      <c r="E183" s="137" t="s">
        <v>38</v>
      </c>
      <c r="F183" s="137" t="s">
        <v>49</v>
      </c>
      <c r="G183" s="137"/>
      <c r="H183" s="210"/>
      <c r="I183" s="137"/>
      <c r="J183" s="226"/>
      <c r="K183" s="137"/>
      <c r="L183" s="137"/>
      <c r="M183" s="137"/>
      <c r="N183" s="137"/>
      <c r="O183" s="93"/>
      <c r="P183" s="155"/>
      <c r="Q183" s="155"/>
      <c r="R183" s="93"/>
      <c r="S183" s="93"/>
      <c r="T183" s="93"/>
      <c r="U183" s="93"/>
      <c r="V183" s="93"/>
    </row>
    <row r="184" spans="1:22" ht="20.05" customHeight="1" x14ac:dyDescent="0.45">
      <c r="A184" s="210"/>
      <c r="B184" s="210"/>
      <c r="C184" s="210"/>
      <c r="D184" s="210"/>
      <c r="E184" s="137" t="s">
        <v>40</v>
      </c>
      <c r="F184" s="137" t="s">
        <v>41</v>
      </c>
      <c r="G184" s="137">
        <v>1</v>
      </c>
      <c r="H184" s="210"/>
      <c r="I184" s="137">
        <v>1</v>
      </c>
      <c r="J184" s="227"/>
      <c r="K184" s="137">
        <v>8</v>
      </c>
      <c r="L184" s="137">
        <f t="shared" ref="L184:L200" si="23">G184*I184*K184</f>
        <v>8</v>
      </c>
      <c r="M184" s="137"/>
      <c r="N184" s="137"/>
      <c r="O184" s="93"/>
      <c r="P184" s="155"/>
      <c r="Q184" s="155"/>
      <c r="R184" s="93"/>
      <c r="S184" s="93"/>
      <c r="T184" s="93"/>
      <c r="U184" s="93"/>
      <c r="V184" s="93"/>
    </row>
    <row r="185" spans="1:22" ht="20.05" customHeight="1" x14ac:dyDescent="0.45">
      <c r="A185" s="210" t="s">
        <v>277</v>
      </c>
      <c r="B185" s="210" t="s">
        <v>278</v>
      </c>
      <c r="C185" s="210"/>
      <c r="D185" s="210" t="s">
        <v>279</v>
      </c>
      <c r="E185" s="137" t="s">
        <v>30</v>
      </c>
      <c r="F185" s="137" t="s">
        <v>41</v>
      </c>
      <c r="G185" s="137">
        <v>1</v>
      </c>
      <c r="H185" s="210" t="s">
        <v>276</v>
      </c>
      <c r="I185" s="137">
        <v>1</v>
      </c>
      <c r="J185" s="228" t="s">
        <v>223</v>
      </c>
      <c r="K185" s="137">
        <v>8</v>
      </c>
      <c r="L185" s="137">
        <f t="shared" si="23"/>
        <v>8</v>
      </c>
      <c r="M185" s="137"/>
      <c r="N185" s="137"/>
      <c r="O185" s="93"/>
      <c r="P185" s="155"/>
      <c r="Q185" s="155"/>
      <c r="R185" s="93"/>
      <c r="S185" s="93"/>
      <c r="T185" s="93"/>
      <c r="U185" s="93"/>
      <c r="V185" s="93"/>
    </row>
    <row r="186" spans="1:22" ht="20.05" customHeight="1" x14ac:dyDescent="0.45">
      <c r="A186" s="210"/>
      <c r="B186" s="210"/>
      <c r="C186" s="210"/>
      <c r="D186" s="210"/>
      <c r="E186" s="137" t="s">
        <v>38</v>
      </c>
      <c r="F186" s="137" t="s">
        <v>130</v>
      </c>
      <c r="G186" s="137">
        <v>1</v>
      </c>
      <c r="H186" s="210"/>
      <c r="I186" s="137">
        <v>1</v>
      </c>
      <c r="J186" s="228"/>
      <c r="K186" s="137">
        <v>8</v>
      </c>
      <c r="L186" s="137">
        <f t="shared" si="23"/>
        <v>8</v>
      </c>
      <c r="M186" s="137"/>
      <c r="N186" s="137"/>
      <c r="O186" s="93"/>
      <c r="P186" s="155"/>
      <c r="Q186" s="155"/>
      <c r="R186" s="93"/>
      <c r="S186" s="93"/>
      <c r="T186" s="93"/>
      <c r="U186" s="93"/>
      <c r="V186" s="93"/>
    </row>
    <row r="187" spans="1:22" ht="18" customHeight="1" x14ac:dyDescent="0.45">
      <c r="A187" s="210"/>
      <c r="B187" s="210"/>
      <c r="C187" s="210"/>
      <c r="D187" s="210"/>
      <c r="E187" s="137" t="s">
        <v>40</v>
      </c>
      <c r="F187" s="137" t="s">
        <v>41</v>
      </c>
      <c r="G187" s="137">
        <v>1</v>
      </c>
      <c r="H187" s="210"/>
      <c r="I187" s="137">
        <v>1</v>
      </c>
      <c r="J187" s="228"/>
      <c r="K187" s="137">
        <v>8</v>
      </c>
      <c r="L187" s="137">
        <f t="shared" si="23"/>
        <v>8</v>
      </c>
      <c r="M187" s="137"/>
      <c r="N187" s="137"/>
      <c r="O187" s="93"/>
      <c r="P187" s="155"/>
      <c r="Q187" s="155"/>
      <c r="R187" s="93"/>
      <c r="S187" s="93"/>
      <c r="T187" s="93"/>
      <c r="U187" s="93"/>
      <c r="V187" s="93"/>
    </row>
    <row r="188" spans="1:22" ht="17.05" customHeight="1" x14ac:dyDescent="0.45">
      <c r="A188" s="210"/>
      <c r="B188" s="210"/>
      <c r="C188" s="210"/>
      <c r="D188" s="210" t="s">
        <v>280</v>
      </c>
      <c r="E188" s="137" t="s">
        <v>30</v>
      </c>
      <c r="F188" s="137" t="s">
        <v>41</v>
      </c>
      <c r="G188" s="137">
        <v>1</v>
      </c>
      <c r="H188" s="210" t="s">
        <v>281</v>
      </c>
      <c r="I188" s="137">
        <v>1</v>
      </c>
      <c r="J188" s="228"/>
      <c r="K188" s="137">
        <v>8</v>
      </c>
      <c r="L188" s="137">
        <f t="shared" si="23"/>
        <v>8</v>
      </c>
      <c r="M188" s="137"/>
      <c r="N188" s="137"/>
      <c r="O188" s="93"/>
      <c r="P188" s="155"/>
      <c r="Q188" s="155"/>
      <c r="R188" s="93"/>
      <c r="S188" s="93"/>
      <c r="T188" s="93"/>
      <c r="U188" s="93"/>
      <c r="V188" s="93"/>
    </row>
    <row r="189" spans="1:22" ht="17.05" customHeight="1" x14ac:dyDescent="0.45">
      <c r="A189" s="210"/>
      <c r="B189" s="210"/>
      <c r="C189" s="210"/>
      <c r="D189" s="210"/>
      <c r="E189" s="137" t="s">
        <v>38</v>
      </c>
      <c r="F189" s="137" t="s">
        <v>130</v>
      </c>
      <c r="G189" s="137">
        <v>1</v>
      </c>
      <c r="H189" s="210"/>
      <c r="I189" s="137">
        <v>1</v>
      </c>
      <c r="J189" s="228"/>
      <c r="K189" s="137">
        <v>8</v>
      </c>
      <c r="L189" s="137">
        <f t="shared" si="23"/>
        <v>8</v>
      </c>
      <c r="M189" s="137"/>
      <c r="N189" s="137"/>
      <c r="O189" s="93"/>
      <c r="P189" s="155"/>
      <c r="Q189" s="155"/>
      <c r="R189" s="93"/>
      <c r="S189" s="93"/>
      <c r="T189" s="93"/>
      <c r="U189" s="93"/>
      <c r="V189" s="93"/>
    </row>
    <row r="190" spans="1:22" ht="17.05" customHeight="1" x14ac:dyDescent="0.45">
      <c r="A190" s="210"/>
      <c r="B190" s="210"/>
      <c r="C190" s="210"/>
      <c r="D190" s="210"/>
      <c r="E190" s="137" t="s">
        <v>40</v>
      </c>
      <c r="F190" s="137" t="s">
        <v>41</v>
      </c>
      <c r="G190" s="137">
        <v>1</v>
      </c>
      <c r="H190" s="210"/>
      <c r="I190" s="137">
        <v>1</v>
      </c>
      <c r="J190" s="228"/>
      <c r="K190" s="137">
        <v>8</v>
      </c>
      <c r="L190" s="137">
        <f t="shared" si="23"/>
        <v>8</v>
      </c>
      <c r="M190" s="137"/>
      <c r="N190" s="137"/>
      <c r="O190" s="93"/>
      <c r="P190" s="155"/>
      <c r="Q190" s="155"/>
      <c r="R190" s="93"/>
      <c r="S190" s="93"/>
      <c r="T190" s="93"/>
      <c r="U190" s="93"/>
      <c r="V190" s="93"/>
    </row>
    <row r="191" spans="1:22" ht="20.05" customHeight="1" x14ac:dyDescent="0.45">
      <c r="A191" s="210" t="s">
        <v>282</v>
      </c>
      <c r="B191" s="210" t="s">
        <v>283</v>
      </c>
      <c r="C191" s="210"/>
      <c r="D191" s="210" t="s">
        <v>284</v>
      </c>
      <c r="E191" s="137" t="s">
        <v>30</v>
      </c>
      <c r="F191" s="137" t="s">
        <v>41</v>
      </c>
      <c r="G191" s="137">
        <v>1</v>
      </c>
      <c r="H191" s="210" t="s">
        <v>281</v>
      </c>
      <c r="I191" s="137">
        <v>1</v>
      </c>
      <c r="J191" s="228" t="s">
        <v>223</v>
      </c>
      <c r="K191" s="137">
        <v>8</v>
      </c>
      <c r="L191" s="137">
        <f t="shared" si="23"/>
        <v>8</v>
      </c>
      <c r="M191" s="137"/>
      <c r="N191" s="137"/>
      <c r="O191" s="93"/>
      <c r="P191" s="155"/>
      <c r="Q191" s="155"/>
      <c r="R191" s="93"/>
      <c r="S191" s="93"/>
      <c r="T191" s="93"/>
      <c r="U191" s="93"/>
      <c r="V191" s="93"/>
    </row>
    <row r="192" spans="1:22" ht="18" customHeight="1" x14ac:dyDescent="0.45">
      <c r="A192" s="210"/>
      <c r="B192" s="210"/>
      <c r="C192" s="210"/>
      <c r="D192" s="210"/>
      <c r="E192" s="137" t="s">
        <v>38</v>
      </c>
      <c r="F192" s="137" t="s">
        <v>130</v>
      </c>
      <c r="G192" s="137">
        <v>1</v>
      </c>
      <c r="H192" s="210"/>
      <c r="I192" s="137">
        <v>1</v>
      </c>
      <c r="J192" s="228"/>
      <c r="K192" s="137">
        <v>8</v>
      </c>
      <c r="L192" s="137">
        <f t="shared" si="23"/>
        <v>8</v>
      </c>
      <c r="M192" s="137"/>
      <c r="N192" s="137"/>
      <c r="O192" s="93"/>
      <c r="P192" s="155"/>
      <c r="Q192" s="155"/>
      <c r="R192" s="93"/>
      <c r="S192" s="93"/>
      <c r="T192" s="93"/>
      <c r="U192" s="93"/>
      <c r="V192" s="93"/>
    </row>
    <row r="193" spans="1:26" ht="20.05" customHeight="1" x14ac:dyDescent="0.45">
      <c r="A193" s="210"/>
      <c r="B193" s="210"/>
      <c r="C193" s="210"/>
      <c r="D193" s="210"/>
      <c r="E193" s="137" t="s">
        <v>40</v>
      </c>
      <c r="F193" s="137" t="s">
        <v>41</v>
      </c>
      <c r="G193" s="137">
        <v>1</v>
      </c>
      <c r="H193" s="210"/>
      <c r="I193" s="137">
        <v>1</v>
      </c>
      <c r="J193" s="228"/>
      <c r="K193" s="137">
        <v>8</v>
      </c>
      <c r="L193" s="137">
        <f t="shared" si="23"/>
        <v>8</v>
      </c>
      <c r="M193" s="137"/>
      <c r="N193" s="137"/>
      <c r="O193" s="93"/>
      <c r="P193" s="155"/>
      <c r="Q193" s="155"/>
      <c r="R193" s="93"/>
      <c r="S193" s="93"/>
      <c r="T193" s="93"/>
      <c r="U193" s="93"/>
      <c r="V193" s="93"/>
    </row>
    <row r="194" spans="1:26" ht="20.05" customHeight="1" x14ac:dyDescent="0.45">
      <c r="A194" s="210"/>
      <c r="B194" s="210"/>
      <c r="C194" s="210"/>
      <c r="D194" s="210" t="s">
        <v>285</v>
      </c>
      <c r="E194" s="137" t="s">
        <v>30</v>
      </c>
      <c r="F194" s="137" t="s">
        <v>41</v>
      </c>
      <c r="G194" s="137">
        <v>1</v>
      </c>
      <c r="H194" s="210" t="s">
        <v>281</v>
      </c>
      <c r="I194" s="137">
        <v>1</v>
      </c>
      <c r="J194" s="228"/>
      <c r="K194" s="137">
        <v>8</v>
      </c>
      <c r="L194" s="137">
        <f t="shared" si="23"/>
        <v>8</v>
      </c>
      <c r="M194" s="137"/>
      <c r="N194" s="137"/>
      <c r="O194" s="93"/>
      <c r="P194" s="155"/>
      <c r="Q194" s="155"/>
      <c r="R194" s="93"/>
      <c r="S194" s="93"/>
      <c r="T194" s="93"/>
      <c r="U194" s="93"/>
      <c r="V194" s="93"/>
    </row>
    <row r="195" spans="1:26" ht="20.05" customHeight="1" x14ac:dyDescent="0.45">
      <c r="A195" s="210"/>
      <c r="B195" s="210"/>
      <c r="C195" s="210"/>
      <c r="D195" s="210"/>
      <c r="E195" s="137" t="s">
        <v>38</v>
      </c>
      <c r="F195" s="137" t="s">
        <v>130</v>
      </c>
      <c r="G195" s="137">
        <v>1</v>
      </c>
      <c r="H195" s="210"/>
      <c r="I195" s="137">
        <v>1</v>
      </c>
      <c r="J195" s="228"/>
      <c r="K195" s="137">
        <v>8</v>
      </c>
      <c r="L195" s="137">
        <f t="shared" si="23"/>
        <v>8</v>
      </c>
      <c r="M195" s="137"/>
      <c r="N195" s="137"/>
      <c r="O195" s="93"/>
      <c r="P195" s="155"/>
      <c r="Q195" s="155"/>
      <c r="R195" s="93"/>
      <c r="S195" s="93"/>
      <c r="T195" s="93"/>
      <c r="U195" s="93"/>
      <c r="V195" s="93"/>
    </row>
    <row r="196" spans="1:26" ht="16" customHeight="1" x14ac:dyDescent="0.45">
      <c r="A196" s="210"/>
      <c r="B196" s="210"/>
      <c r="C196" s="210"/>
      <c r="D196" s="210"/>
      <c r="E196" s="137" t="s">
        <v>40</v>
      </c>
      <c r="F196" s="137" t="s">
        <v>41</v>
      </c>
      <c r="G196" s="137">
        <v>1</v>
      </c>
      <c r="H196" s="210"/>
      <c r="I196" s="137">
        <v>1</v>
      </c>
      <c r="J196" s="228"/>
      <c r="K196" s="137">
        <v>8</v>
      </c>
      <c r="L196" s="137">
        <f t="shared" si="23"/>
        <v>8</v>
      </c>
      <c r="M196" s="137"/>
      <c r="N196" s="137"/>
      <c r="O196" s="93"/>
      <c r="P196" s="155"/>
      <c r="Q196" s="155"/>
      <c r="R196" s="93"/>
      <c r="S196" s="93"/>
      <c r="T196" s="93"/>
      <c r="U196" s="93"/>
      <c r="V196" s="93"/>
    </row>
    <row r="197" spans="1:26" ht="17.05" customHeight="1" x14ac:dyDescent="0.45">
      <c r="A197" s="210" t="s">
        <v>286</v>
      </c>
      <c r="B197" s="210" t="s">
        <v>287</v>
      </c>
      <c r="C197" s="210"/>
      <c r="D197" s="210" t="s">
        <v>288</v>
      </c>
      <c r="E197" s="137" t="s">
        <v>30</v>
      </c>
      <c r="F197" s="137" t="s">
        <v>41</v>
      </c>
      <c r="G197" s="137">
        <v>1</v>
      </c>
      <c r="H197" s="210" t="s">
        <v>281</v>
      </c>
      <c r="I197" s="137">
        <v>1</v>
      </c>
      <c r="J197" s="225" t="s">
        <v>251</v>
      </c>
      <c r="K197" s="137">
        <v>8</v>
      </c>
      <c r="L197" s="137">
        <f t="shared" si="23"/>
        <v>8</v>
      </c>
      <c r="M197" s="137"/>
      <c r="N197" s="137"/>
      <c r="O197" s="93"/>
      <c r="P197" s="155"/>
      <c r="Q197" s="155"/>
      <c r="R197" s="93"/>
      <c r="S197" s="93"/>
      <c r="T197" s="93"/>
      <c r="U197" s="93"/>
      <c r="V197" s="93"/>
      <c r="Z197" s="87">
        <f>68291</f>
        <v>68291</v>
      </c>
    </row>
    <row r="198" spans="1:26" ht="20.05" customHeight="1" x14ac:dyDescent="0.45">
      <c r="A198" s="210"/>
      <c r="B198" s="210"/>
      <c r="C198" s="210"/>
      <c r="D198" s="210"/>
      <c r="E198" s="137" t="s">
        <v>38</v>
      </c>
      <c r="F198" s="137" t="s">
        <v>130</v>
      </c>
      <c r="G198" s="137">
        <v>1</v>
      </c>
      <c r="H198" s="210"/>
      <c r="I198" s="137">
        <v>1</v>
      </c>
      <c r="J198" s="226"/>
      <c r="K198" s="137">
        <v>8</v>
      </c>
      <c r="L198" s="137">
        <f t="shared" si="23"/>
        <v>8</v>
      </c>
      <c r="M198" s="137"/>
      <c r="N198" s="137"/>
      <c r="O198" s="93"/>
      <c r="P198" s="155"/>
      <c r="Q198" s="155"/>
      <c r="R198" s="93"/>
      <c r="S198" s="93"/>
      <c r="T198" s="93"/>
      <c r="U198" s="93"/>
      <c r="V198" s="93"/>
    </row>
    <row r="199" spans="1:26" ht="17.05" customHeight="1" x14ac:dyDescent="0.45">
      <c r="A199" s="210"/>
      <c r="B199" s="210"/>
      <c r="C199" s="210"/>
      <c r="D199" s="210"/>
      <c r="E199" s="137" t="s">
        <v>40</v>
      </c>
      <c r="F199" s="137" t="s">
        <v>41</v>
      </c>
      <c r="G199" s="137">
        <v>1</v>
      </c>
      <c r="H199" s="210"/>
      <c r="I199" s="137">
        <v>1</v>
      </c>
      <c r="J199" s="227"/>
      <c r="K199" s="137">
        <v>8</v>
      </c>
      <c r="L199" s="137">
        <f t="shared" si="23"/>
        <v>8</v>
      </c>
      <c r="M199" s="137"/>
      <c r="N199" s="137"/>
      <c r="O199" s="93"/>
      <c r="P199" s="155"/>
      <c r="Q199" s="155"/>
      <c r="R199" s="93"/>
      <c r="S199" s="93"/>
      <c r="T199" s="93"/>
      <c r="U199" s="93"/>
      <c r="V199" s="93"/>
    </row>
    <row r="200" spans="1:26" ht="20.05" customHeight="1" x14ac:dyDescent="0.45">
      <c r="A200" s="210" t="s">
        <v>289</v>
      </c>
      <c r="B200" s="210" t="s">
        <v>290</v>
      </c>
      <c r="C200" s="210"/>
      <c r="D200" s="210" t="s">
        <v>69</v>
      </c>
      <c r="E200" s="137" t="s">
        <v>30</v>
      </c>
      <c r="F200" s="137" t="s">
        <v>41</v>
      </c>
      <c r="G200" s="137">
        <v>1</v>
      </c>
      <c r="H200" s="210" t="s">
        <v>281</v>
      </c>
      <c r="I200" s="137">
        <v>1</v>
      </c>
      <c r="J200" s="225" t="s">
        <v>251</v>
      </c>
      <c r="K200" s="137">
        <v>8</v>
      </c>
      <c r="L200" s="137">
        <f t="shared" si="23"/>
        <v>8</v>
      </c>
      <c r="M200" s="137"/>
      <c r="N200" s="137"/>
      <c r="O200" s="93"/>
      <c r="P200" s="155"/>
      <c r="Q200" s="155"/>
      <c r="R200" s="93"/>
      <c r="S200" s="93"/>
      <c r="T200" s="93"/>
      <c r="U200" s="93"/>
      <c r="V200" s="93"/>
    </row>
    <row r="201" spans="1:26" ht="20.05" customHeight="1" x14ac:dyDescent="0.45">
      <c r="A201" s="210"/>
      <c r="B201" s="210"/>
      <c r="C201" s="210"/>
      <c r="D201" s="210"/>
      <c r="E201" s="137" t="s">
        <v>38</v>
      </c>
      <c r="F201" s="137" t="s">
        <v>130</v>
      </c>
      <c r="G201" s="137">
        <v>1</v>
      </c>
      <c r="H201" s="210"/>
      <c r="I201" s="137">
        <v>1</v>
      </c>
      <c r="J201" s="226"/>
      <c r="K201" s="137">
        <v>8</v>
      </c>
      <c r="L201" s="137">
        <f t="shared" ref="L201:L216" si="24">G201*I201*K201</f>
        <v>8</v>
      </c>
      <c r="M201" s="137"/>
      <c r="N201" s="137"/>
      <c r="O201" s="93"/>
      <c r="P201" s="155"/>
      <c r="Q201" s="155"/>
      <c r="R201" s="93"/>
      <c r="S201" s="93"/>
      <c r="T201" s="93"/>
      <c r="U201" s="93"/>
      <c r="V201" s="93"/>
    </row>
    <row r="202" spans="1:26" ht="17.05" customHeight="1" x14ac:dyDescent="0.45">
      <c r="A202" s="210"/>
      <c r="B202" s="210"/>
      <c r="C202" s="210"/>
      <c r="D202" s="210"/>
      <c r="E202" s="137" t="s">
        <v>40</v>
      </c>
      <c r="F202" s="137" t="s">
        <v>41</v>
      </c>
      <c r="G202" s="137">
        <v>1</v>
      </c>
      <c r="H202" s="210"/>
      <c r="I202" s="137">
        <v>1</v>
      </c>
      <c r="J202" s="227"/>
      <c r="K202" s="137">
        <v>8</v>
      </c>
      <c r="L202" s="137">
        <f t="shared" si="24"/>
        <v>8</v>
      </c>
      <c r="M202" s="137"/>
      <c r="N202" s="137"/>
      <c r="O202" s="93"/>
      <c r="P202" s="155"/>
      <c r="Q202" s="155"/>
      <c r="R202" s="93"/>
      <c r="S202" s="93"/>
      <c r="T202" s="93"/>
      <c r="U202" s="93"/>
      <c r="V202" s="93"/>
    </row>
    <row r="203" spans="1:26" ht="20.05" customHeight="1" x14ac:dyDescent="0.45">
      <c r="A203" s="154" t="s">
        <v>291</v>
      </c>
      <c r="B203" s="210" t="s">
        <v>292</v>
      </c>
      <c r="C203" s="210"/>
      <c r="D203" s="210" t="s">
        <v>293</v>
      </c>
      <c r="E203" s="137" t="s">
        <v>30</v>
      </c>
      <c r="F203" s="137" t="s">
        <v>41</v>
      </c>
      <c r="G203" s="137">
        <v>1</v>
      </c>
      <c r="H203" s="210" t="s">
        <v>281</v>
      </c>
      <c r="I203" s="137">
        <v>1</v>
      </c>
      <c r="J203" s="228" t="s">
        <v>251</v>
      </c>
      <c r="K203" s="137">
        <v>8</v>
      </c>
      <c r="L203" s="137">
        <f t="shared" si="24"/>
        <v>8</v>
      </c>
      <c r="M203" s="137"/>
      <c r="N203" s="137"/>
      <c r="O203" s="93"/>
      <c r="P203" s="155"/>
      <c r="Q203" s="155"/>
      <c r="R203" s="93"/>
      <c r="S203" s="93"/>
      <c r="T203" s="93"/>
      <c r="U203" s="93"/>
      <c r="V203" s="93"/>
    </row>
    <row r="204" spans="1:26" ht="20.05" customHeight="1" x14ac:dyDescent="0.45">
      <c r="A204" s="154"/>
      <c r="B204" s="210"/>
      <c r="C204" s="210"/>
      <c r="D204" s="210"/>
      <c r="E204" s="137" t="s">
        <v>38</v>
      </c>
      <c r="F204" s="137" t="s">
        <v>130</v>
      </c>
      <c r="G204" s="137">
        <v>1</v>
      </c>
      <c r="H204" s="210"/>
      <c r="I204" s="137">
        <v>1</v>
      </c>
      <c r="J204" s="228"/>
      <c r="K204" s="137">
        <v>8</v>
      </c>
      <c r="L204" s="137">
        <f t="shared" si="24"/>
        <v>8</v>
      </c>
      <c r="M204" s="137"/>
      <c r="N204" s="137"/>
      <c r="O204" s="93"/>
      <c r="P204" s="155"/>
      <c r="Q204" s="155"/>
      <c r="R204" s="93"/>
      <c r="S204" s="93"/>
      <c r="T204" s="93"/>
      <c r="U204" s="93"/>
      <c r="V204" s="93"/>
    </row>
    <row r="205" spans="1:26" ht="16" customHeight="1" x14ac:dyDescent="0.45">
      <c r="A205" s="154"/>
      <c r="B205" s="210"/>
      <c r="C205" s="210"/>
      <c r="D205" s="210"/>
      <c r="E205" s="137" t="s">
        <v>40</v>
      </c>
      <c r="F205" s="137" t="s">
        <v>41</v>
      </c>
      <c r="G205" s="137">
        <v>1</v>
      </c>
      <c r="H205" s="210"/>
      <c r="I205" s="137">
        <v>1</v>
      </c>
      <c r="J205" s="228"/>
      <c r="K205" s="137">
        <v>8</v>
      </c>
      <c r="L205" s="137">
        <f t="shared" si="24"/>
        <v>8</v>
      </c>
      <c r="M205" s="137"/>
      <c r="N205" s="137"/>
      <c r="O205" s="93"/>
      <c r="P205" s="155"/>
      <c r="Q205" s="155"/>
      <c r="R205" s="93"/>
      <c r="S205" s="93"/>
      <c r="T205" s="93"/>
      <c r="U205" s="93"/>
      <c r="V205" s="93"/>
    </row>
    <row r="206" spans="1:26" ht="20.05" customHeight="1" x14ac:dyDescent="0.45">
      <c r="A206" s="154"/>
      <c r="B206" s="210"/>
      <c r="C206" s="210"/>
      <c r="D206" s="210" t="s">
        <v>284</v>
      </c>
      <c r="E206" s="137" t="s">
        <v>30</v>
      </c>
      <c r="F206" s="137" t="s">
        <v>41</v>
      </c>
      <c r="G206" s="137">
        <v>1</v>
      </c>
      <c r="H206" s="210" t="s">
        <v>281</v>
      </c>
      <c r="I206" s="137">
        <v>1</v>
      </c>
      <c r="J206" s="228"/>
      <c r="K206" s="137">
        <v>8</v>
      </c>
      <c r="L206" s="137">
        <f t="shared" si="24"/>
        <v>8</v>
      </c>
      <c r="M206" s="137"/>
      <c r="N206" s="137"/>
      <c r="O206" s="93"/>
      <c r="P206" s="155"/>
      <c r="Q206" s="155"/>
      <c r="R206" s="93"/>
      <c r="S206" s="93"/>
      <c r="T206" s="93"/>
      <c r="U206" s="93"/>
      <c r="V206" s="93"/>
    </row>
    <row r="207" spans="1:26" ht="17.05" customHeight="1" x14ac:dyDescent="0.45">
      <c r="A207" s="154"/>
      <c r="B207" s="210"/>
      <c r="C207" s="210"/>
      <c r="D207" s="210"/>
      <c r="E207" s="137" t="s">
        <v>38</v>
      </c>
      <c r="F207" s="137" t="s">
        <v>130</v>
      </c>
      <c r="G207" s="137">
        <v>1</v>
      </c>
      <c r="H207" s="210"/>
      <c r="I207" s="137">
        <v>1</v>
      </c>
      <c r="J207" s="228"/>
      <c r="K207" s="137">
        <v>8</v>
      </c>
      <c r="L207" s="137">
        <f t="shared" si="24"/>
        <v>8</v>
      </c>
      <c r="M207" s="137"/>
      <c r="N207" s="137"/>
      <c r="O207" s="93"/>
      <c r="P207" s="155"/>
      <c r="Q207" s="155"/>
      <c r="R207" s="93"/>
      <c r="S207" s="93"/>
      <c r="T207" s="93"/>
      <c r="U207" s="93"/>
      <c r="V207" s="93"/>
    </row>
    <row r="208" spans="1:26" ht="20.05" customHeight="1" x14ac:dyDescent="0.45">
      <c r="A208" s="154"/>
      <c r="B208" s="210"/>
      <c r="C208" s="210"/>
      <c r="D208" s="210"/>
      <c r="E208" s="137" t="s">
        <v>40</v>
      </c>
      <c r="F208" s="137" t="s">
        <v>41</v>
      </c>
      <c r="G208" s="137">
        <v>1</v>
      </c>
      <c r="H208" s="210"/>
      <c r="I208" s="137">
        <v>1</v>
      </c>
      <c r="J208" s="228"/>
      <c r="K208" s="137">
        <v>8</v>
      </c>
      <c r="L208" s="137">
        <f t="shared" si="24"/>
        <v>8</v>
      </c>
      <c r="M208" s="137"/>
      <c r="N208" s="137"/>
      <c r="O208" s="93"/>
      <c r="P208" s="155"/>
      <c r="Q208" s="155"/>
      <c r="R208" s="93"/>
      <c r="S208" s="93"/>
      <c r="T208" s="93"/>
      <c r="U208" s="93"/>
      <c r="V208" s="93"/>
    </row>
    <row r="209" spans="1:22" ht="20.05" customHeight="1" x14ac:dyDescent="0.45">
      <c r="A209" s="210" t="s">
        <v>294</v>
      </c>
      <c r="B209" s="210" t="s">
        <v>295</v>
      </c>
      <c r="C209" s="210"/>
      <c r="D209" s="210" t="s">
        <v>293</v>
      </c>
      <c r="E209" s="137" t="s">
        <v>30</v>
      </c>
      <c r="F209" s="137" t="s">
        <v>41</v>
      </c>
      <c r="G209" s="137">
        <v>1</v>
      </c>
      <c r="H209" s="210" t="s">
        <v>281</v>
      </c>
      <c r="I209" s="137">
        <v>1</v>
      </c>
      <c r="J209" s="228" t="s">
        <v>251</v>
      </c>
      <c r="K209" s="137">
        <v>8</v>
      </c>
      <c r="L209" s="137">
        <f t="shared" si="24"/>
        <v>8</v>
      </c>
      <c r="M209" s="137"/>
      <c r="N209" s="137"/>
      <c r="O209" s="93"/>
      <c r="P209" s="155"/>
      <c r="Q209" s="155"/>
      <c r="R209" s="93"/>
      <c r="S209" s="93"/>
      <c r="T209" s="93"/>
      <c r="U209" s="93"/>
      <c r="V209" s="93"/>
    </row>
    <row r="210" spans="1:22" ht="20.05" customHeight="1" x14ac:dyDescent="0.45">
      <c r="A210" s="210"/>
      <c r="B210" s="210"/>
      <c r="C210" s="210"/>
      <c r="D210" s="210"/>
      <c r="E210" s="137" t="s">
        <v>38</v>
      </c>
      <c r="F210" s="137" t="s">
        <v>130</v>
      </c>
      <c r="G210" s="137">
        <v>1</v>
      </c>
      <c r="H210" s="210"/>
      <c r="I210" s="137">
        <v>1</v>
      </c>
      <c r="J210" s="228"/>
      <c r="K210" s="137">
        <v>8</v>
      </c>
      <c r="L210" s="137">
        <f t="shared" si="24"/>
        <v>8</v>
      </c>
      <c r="M210" s="137"/>
      <c r="N210" s="137"/>
      <c r="O210" s="93"/>
      <c r="P210" s="155"/>
      <c r="Q210" s="155"/>
      <c r="R210" s="93"/>
      <c r="S210" s="93"/>
      <c r="T210" s="93"/>
      <c r="U210" s="93"/>
      <c r="V210" s="93"/>
    </row>
    <row r="211" spans="1:22" ht="17.05" customHeight="1" x14ac:dyDescent="0.45">
      <c r="A211" s="210"/>
      <c r="B211" s="210"/>
      <c r="C211" s="210"/>
      <c r="D211" s="210"/>
      <c r="E211" s="137" t="s">
        <v>40</v>
      </c>
      <c r="F211" s="137" t="s">
        <v>41</v>
      </c>
      <c r="G211" s="137">
        <v>1</v>
      </c>
      <c r="H211" s="210"/>
      <c r="I211" s="137">
        <v>1</v>
      </c>
      <c r="J211" s="228"/>
      <c r="K211" s="137">
        <v>8</v>
      </c>
      <c r="L211" s="137">
        <f t="shared" si="24"/>
        <v>8</v>
      </c>
      <c r="M211" s="137"/>
      <c r="N211" s="137"/>
      <c r="O211" s="93"/>
      <c r="P211" s="155"/>
      <c r="Q211" s="155"/>
      <c r="R211" s="93"/>
      <c r="S211" s="93"/>
      <c r="T211" s="93"/>
      <c r="U211" s="93"/>
      <c r="V211" s="93"/>
    </row>
    <row r="212" spans="1:22" ht="20.05" customHeight="1" x14ac:dyDescent="0.45">
      <c r="A212" s="210"/>
      <c r="B212" s="210"/>
      <c r="C212" s="210"/>
      <c r="D212" s="210" t="s">
        <v>284</v>
      </c>
      <c r="E212" s="137" t="s">
        <v>30</v>
      </c>
      <c r="F212" s="137" t="s">
        <v>41</v>
      </c>
      <c r="G212" s="137">
        <v>1</v>
      </c>
      <c r="H212" s="210" t="s">
        <v>281</v>
      </c>
      <c r="I212" s="137">
        <v>1</v>
      </c>
      <c r="J212" s="228"/>
      <c r="K212" s="137">
        <v>8</v>
      </c>
      <c r="L212" s="137">
        <f t="shared" si="24"/>
        <v>8</v>
      </c>
      <c r="M212" s="137"/>
      <c r="N212" s="137"/>
      <c r="O212" s="93"/>
      <c r="P212" s="155"/>
      <c r="Q212" s="155"/>
      <c r="R212" s="93"/>
      <c r="S212" s="93"/>
      <c r="T212" s="93"/>
      <c r="U212" s="93"/>
      <c r="V212" s="93"/>
    </row>
    <row r="213" spans="1:22" ht="20.05" customHeight="1" x14ac:dyDescent="0.45">
      <c r="A213" s="210"/>
      <c r="B213" s="210"/>
      <c r="C213" s="210"/>
      <c r="D213" s="210"/>
      <c r="E213" s="137" t="s">
        <v>38</v>
      </c>
      <c r="F213" s="137" t="s">
        <v>130</v>
      </c>
      <c r="G213" s="137">
        <v>1</v>
      </c>
      <c r="H213" s="210"/>
      <c r="I213" s="137">
        <v>1</v>
      </c>
      <c r="J213" s="228"/>
      <c r="K213" s="137">
        <v>8</v>
      </c>
      <c r="L213" s="137">
        <f t="shared" si="24"/>
        <v>8</v>
      </c>
      <c r="M213" s="137"/>
      <c r="N213" s="137"/>
      <c r="O213" s="93"/>
      <c r="P213" s="155"/>
      <c r="Q213" s="155"/>
      <c r="R213" s="93"/>
      <c r="S213" s="93"/>
      <c r="T213" s="93"/>
      <c r="U213" s="93"/>
      <c r="V213" s="93"/>
    </row>
    <row r="214" spans="1:22" ht="15" customHeight="1" x14ac:dyDescent="0.45">
      <c r="A214" s="210"/>
      <c r="B214" s="210"/>
      <c r="C214" s="210"/>
      <c r="D214" s="210"/>
      <c r="E214" s="137" t="s">
        <v>40</v>
      </c>
      <c r="F214" s="137" t="s">
        <v>41</v>
      </c>
      <c r="G214" s="137">
        <v>1</v>
      </c>
      <c r="H214" s="210"/>
      <c r="I214" s="137">
        <v>1</v>
      </c>
      <c r="J214" s="228"/>
      <c r="K214" s="137">
        <v>8</v>
      </c>
      <c r="L214" s="137">
        <f t="shared" si="24"/>
        <v>8</v>
      </c>
      <c r="M214" s="137"/>
      <c r="N214" s="137"/>
      <c r="O214" s="93"/>
      <c r="P214" s="155"/>
      <c r="Q214" s="155"/>
      <c r="R214" s="93"/>
      <c r="S214" s="93"/>
      <c r="T214" s="93"/>
      <c r="U214" s="93"/>
      <c r="V214" s="93"/>
    </row>
    <row r="215" spans="1:22" ht="18" customHeight="1" x14ac:dyDescent="0.45">
      <c r="A215" s="210" t="s">
        <v>294</v>
      </c>
      <c r="B215" s="210" t="s">
        <v>296</v>
      </c>
      <c r="C215" s="210"/>
      <c r="D215" s="210" t="s">
        <v>284</v>
      </c>
      <c r="E215" s="137" t="s">
        <v>30</v>
      </c>
      <c r="F215" s="137" t="s">
        <v>41</v>
      </c>
      <c r="G215" s="137">
        <v>1</v>
      </c>
      <c r="H215" s="210" t="s">
        <v>281</v>
      </c>
      <c r="I215" s="137">
        <v>1</v>
      </c>
      <c r="J215" s="228" t="s">
        <v>251</v>
      </c>
      <c r="K215" s="137">
        <v>8</v>
      </c>
      <c r="L215" s="137">
        <f t="shared" si="24"/>
        <v>8</v>
      </c>
      <c r="M215" s="137"/>
      <c r="N215" s="137"/>
      <c r="O215" s="93"/>
      <c r="P215" s="155"/>
      <c r="Q215" s="155"/>
      <c r="R215" s="93"/>
      <c r="S215" s="93"/>
      <c r="T215" s="93"/>
      <c r="U215" s="93"/>
      <c r="V215" s="93"/>
    </row>
    <row r="216" spans="1:22" ht="20.05" customHeight="1" x14ac:dyDescent="0.45">
      <c r="A216" s="210"/>
      <c r="B216" s="210"/>
      <c r="C216" s="210"/>
      <c r="D216" s="210"/>
      <c r="E216" s="137" t="s">
        <v>38</v>
      </c>
      <c r="F216" s="137" t="s">
        <v>130</v>
      </c>
      <c r="G216" s="137">
        <v>1</v>
      </c>
      <c r="H216" s="210"/>
      <c r="I216" s="137">
        <v>1</v>
      </c>
      <c r="J216" s="228"/>
      <c r="K216" s="137">
        <v>8</v>
      </c>
      <c r="L216" s="137">
        <f t="shared" si="24"/>
        <v>8</v>
      </c>
      <c r="M216" s="137"/>
      <c r="N216" s="137"/>
      <c r="O216" s="93"/>
      <c r="P216" s="155"/>
      <c r="Q216" s="155"/>
      <c r="R216" s="93"/>
      <c r="S216" s="93"/>
      <c r="T216" s="93"/>
      <c r="U216" s="93"/>
      <c r="V216" s="93"/>
    </row>
    <row r="217" spans="1:22" ht="20.05" customHeight="1" x14ac:dyDescent="0.45">
      <c r="A217" s="210"/>
      <c r="B217" s="210"/>
      <c r="C217" s="210"/>
      <c r="D217" s="210"/>
      <c r="E217" s="137" t="s">
        <v>40</v>
      </c>
      <c r="F217" s="137" t="s">
        <v>41</v>
      </c>
      <c r="G217" s="137">
        <v>1</v>
      </c>
      <c r="H217" s="210"/>
      <c r="I217" s="137">
        <v>1</v>
      </c>
      <c r="J217" s="228"/>
      <c r="K217" s="137">
        <v>8</v>
      </c>
      <c r="L217" s="137">
        <f t="shared" ref="L217:L233" si="25">G217*I217*K217</f>
        <v>8</v>
      </c>
      <c r="M217" s="137"/>
      <c r="N217" s="137"/>
      <c r="O217" s="93"/>
      <c r="P217" s="155"/>
      <c r="Q217" s="155"/>
      <c r="R217" s="93"/>
      <c r="S217" s="93"/>
      <c r="T217" s="93"/>
      <c r="U217" s="93"/>
      <c r="V217" s="93"/>
    </row>
    <row r="218" spans="1:22" ht="20.05" customHeight="1" x14ac:dyDescent="0.45">
      <c r="A218" s="210"/>
      <c r="B218" s="210"/>
      <c r="C218" s="210"/>
      <c r="D218" s="210" t="s">
        <v>285</v>
      </c>
      <c r="E218" s="137" t="s">
        <v>30</v>
      </c>
      <c r="F218" s="137" t="s">
        <v>41</v>
      </c>
      <c r="G218" s="137">
        <v>1</v>
      </c>
      <c r="H218" s="210" t="s">
        <v>281</v>
      </c>
      <c r="I218" s="137">
        <v>1</v>
      </c>
      <c r="J218" s="228"/>
      <c r="K218" s="137">
        <v>8</v>
      </c>
      <c r="L218" s="137">
        <f t="shared" si="25"/>
        <v>8</v>
      </c>
      <c r="M218" s="137"/>
      <c r="N218" s="137"/>
      <c r="O218" s="93"/>
      <c r="P218" s="155"/>
      <c r="Q218" s="155"/>
      <c r="R218" s="93"/>
      <c r="S218" s="93"/>
      <c r="T218" s="93"/>
      <c r="U218" s="93"/>
      <c r="V218" s="93"/>
    </row>
    <row r="219" spans="1:22" ht="20.05" customHeight="1" x14ac:dyDescent="0.45">
      <c r="A219" s="210"/>
      <c r="B219" s="210"/>
      <c r="C219" s="210"/>
      <c r="D219" s="210"/>
      <c r="E219" s="137" t="s">
        <v>38</v>
      </c>
      <c r="F219" s="137" t="s">
        <v>130</v>
      </c>
      <c r="G219" s="137">
        <v>1</v>
      </c>
      <c r="H219" s="210"/>
      <c r="I219" s="137">
        <v>1</v>
      </c>
      <c r="J219" s="228"/>
      <c r="K219" s="137">
        <v>8</v>
      </c>
      <c r="L219" s="137">
        <f t="shared" si="25"/>
        <v>8</v>
      </c>
      <c r="M219" s="137"/>
      <c r="N219" s="137"/>
      <c r="O219" s="93"/>
      <c r="P219" s="155"/>
      <c r="Q219" s="155"/>
      <c r="R219" s="93"/>
      <c r="S219" s="93"/>
      <c r="T219" s="93"/>
      <c r="U219" s="93"/>
      <c r="V219" s="93"/>
    </row>
    <row r="220" spans="1:22" ht="16" customHeight="1" x14ac:dyDescent="0.45">
      <c r="A220" s="210"/>
      <c r="B220" s="210"/>
      <c r="C220" s="210"/>
      <c r="D220" s="210"/>
      <c r="E220" s="137" t="s">
        <v>40</v>
      </c>
      <c r="F220" s="137" t="s">
        <v>41</v>
      </c>
      <c r="G220" s="137">
        <v>1</v>
      </c>
      <c r="H220" s="210"/>
      <c r="I220" s="137">
        <v>1</v>
      </c>
      <c r="J220" s="228"/>
      <c r="K220" s="137">
        <v>8</v>
      </c>
      <c r="L220" s="137">
        <f t="shared" si="25"/>
        <v>8</v>
      </c>
      <c r="M220" s="137"/>
      <c r="N220" s="137"/>
      <c r="O220" s="93"/>
      <c r="P220" s="155"/>
      <c r="Q220" s="155"/>
      <c r="R220" s="93"/>
      <c r="S220" s="93"/>
      <c r="T220" s="93"/>
      <c r="U220" s="93"/>
      <c r="V220" s="93"/>
    </row>
    <row r="221" spans="1:22" ht="20.05" customHeight="1" x14ac:dyDescent="0.45">
      <c r="A221" s="210" t="s">
        <v>294</v>
      </c>
      <c r="B221" s="210" t="s">
        <v>297</v>
      </c>
      <c r="C221" s="210"/>
      <c r="D221" s="210" t="s">
        <v>298</v>
      </c>
      <c r="E221" s="137" t="s">
        <v>30</v>
      </c>
      <c r="F221" s="137" t="s">
        <v>41</v>
      </c>
      <c r="G221" s="137">
        <v>1</v>
      </c>
      <c r="H221" s="210" t="s">
        <v>281</v>
      </c>
      <c r="I221" s="137">
        <v>1</v>
      </c>
      <c r="J221" s="228" t="s">
        <v>251</v>
      </c>
      <c r="K221" s="137">
        <v>8</v>
      </c>
      <c r="L221" s="137">
        <f t="shared" si="25"/>
        <v>8</v>
      </c>
      <c r="M221" s="137"/>
      <c r="N221" s="137"/>
      <c r="O221" s="93"/>
      <c r="P221" s="155"/>
      <c r="Q221" s="155"/>
      <c r="R221" s="93"/>
      <c r="S221" s="93"/>
      <c r="T221" s="93"/>
      <c r="U221" s="93"/>
      <c r="V221" s="93"/>
    </row>
    <row r="222" spans="1:22" ht="17.05" customHeight="1" x14ac:dyDescent="0.45">
      <c r="A222" s="210"/>
      <c r="B222" s="210"/>
      <c r="C222" s="210"/>
      <c r="D222" s="210"/>
      <c r="E222" s="137" t="s">
        <v>38</v>
      </c>
      <c r="F222" s="137" t="s">
        <v>130</v>
      </c>
      <c r="G222" s="137">
        <v>1</v>
      </c>
      <c r="H222" s="210"/>
      <c r="I222" s="137">
        <v>1</v>
      </c>
      <c r="J222" s="228"/>
      <c r="K222" s="137">
        <v>8</v>
      </c>
      <c r="L222" s="137">
        <f t="shared" si="25"/>
        <v>8</v>
      </c>
      <c r="M222" s="137"/>
      <c r="N222" s="137"/>
      <c r="O222" s="93"/>
      <c r="P222" s="155"/>
      <c r="Q222" s="155"/>
      <c r="R222" s="93"/>
      <c r="S222" s="93"/>
      <c r="T222" s="93"/>
      <c r="U222" s="93"/>
      <c r="V222" s="93"/>
    </row>
    <row r="223" spans="1:22" ht="15" customHeight="1" x14ac:dyDescent="0.45">
      <c r="A223" s="210"/>
      <c r="B223" s="210"/>
      <c r="C223" s="210"/>
      <c r="D223" s="210"/>
      <c r="E223" s="137" t="s">
        <v>40</v>
      </c>
      <c r="F223" s="137" t="s">
        <v>41</v>
      </c>
      <c r="G223" s="137">
        <v>1</v>
      </c>
      <c r="H223" s="210"/>
      <c r="I223" s="137">
        <v>1</v>
      </c>
      <c r="J223" s="228"/>
      <c r="K223" s="137">
        <v>8</v>
      </c>
      <c r="L223" s="137">
        <f t="shared" si="25"/>
        <v>8</v>
      </c>
      <c r="M223" s="137"/>
      <c r="N223" s="137"/>
      <c r="O223" s="93"/>
      <c r="P223" s="155"/>
      <c r="Q223" s="155"/>
      <c r="R223" s="93"/>
      <c r="S223" s="93"/>
      <c r="T223" s="93"/>
      <c r="U223" s="93"/>
      <c r="V223" s="93"/>
    </row>
    <row r="224" spans="1:22" ht="16" customHeight="1" x14ac:dyDescent="0.45">
      <c r="A224" s="210"/>
      <c r="B224" s="210"/>
      <c r="C224" s="210"/>
      <c r="D224" s="210" t="s">
        <v>234</v>
      </c>
      <c r="E224" s="137" t="s">
        <v>30</v>
      </c>
      <c r="F224" s="137" t="s">
        <v>41</v>
      </c>
      <c r="G224" s="137">
        <v>1</v>
      </c>
      <c r="H224" s="210" t="s">
        <v>281</v>
      </c>
      <c r="I224" s="137">
        <v>1</v>
      </c>
      <c r="J224" s="228"/>
      <c r="K224" s="137">
        <v>8</v>
      </c>
      <c r="L224" s="137">
        <f t="shared" si="25"/>
        <v>8</v>
      </c>
      <c r="M224" s="137"/>
      <c r="N224" s="143"/>
      <c r="O224" s="93"/>
      <c r="P224" s="155"/>
      <c r="Q224" s="155"/>
      <c r="R224" s="93"/>
      <c r="S224" s="93"/>
      <c r="T224" s="93"/>
      <c r="U224" s="93"/>
      <c r="V224" s="93"/>
    </row>
    <row r="225" spans="1:22" ht="20.05" customHeight="1" x14ac:dyDescent="0.45">
      <c r="A225" s="210"/>
      <c r="B225" s="210"/>
      <c r="C225" s="210"/>
      <c r="D225" s="210"/>
      <c r="E225" s="137" t="s">
        <v>38</v>
      </c>
      <c r="F225" s="137" t="s">
        <v>130</v>
      </c>
      <c r="G225" s="137">
        <v>1</v>
      </c>
      <c r="H225" s="210"/>
      <c r="I225" s="137">
        <v>1</v>
      </c>
      <c r="J225" s="228"/>
      <c r="K225" s="137">
        <v>8</v>
      </c>
      <c r="L225" s="137">
        <f t="shared" si="25"/>
        <v>8</v>
      </c>
      <c r="M225" s="137"/>
      <c r="N225" s="137"/>
      <c r="O225" s="93"/>
      <c r="P225" s="155"/>
      <c r="Q225" s="155"/>
      <c r="R225" s="93"/>
      <c r="S225" s="93"/>
      <c r="T225" s="93"/>
      <c r="U225" s="93"/>
      <c r="V225" s="93"/>
    </row>
    <row r="226" spans="1:22" ht="20.05" customHeight="1" x14ac:dyDescent="0.45">
      <c r="A226" s="210"/>
      <c r="B226" s="210"/>
      <c r="C226" s="210"/>
      <c r="D226" s="210"/>
      <c r="E226" s="137" t="s">
        <v>40</v>
      </c>
      <c r="F226" s="137" t="s">
        <v>41</v>
      </c>
      <c r="G226" s="137">
        <v>1</v>
      </c>
      <c r="H226" s="210"/>
      <c r="I226" s="137">
        <v>1</v>
      </c>
      <c r="J226" s="228"/>
      <c r="K226" s="137">
        <v>8</v>
      </c>
      <c r="L226" s="137">
        <f t="shared" si="25"/>
        <v>8</v>
      </c>
      <c r="M226" s="137"/>
      <c r="N226" s="137"/>
      <c r="O226" s="93"/>
      <c r="P226" s="155"/>
      <c r="Q226" s="155"/>
      <c r="R226" s="93"/>
      <c r="S226" s="93"/>
      <c r="T226" s="93"/>
      <c r="U226" s="93"/>
      <c r="V226" s="93"/>
    </row>
    <row r="227" spans="1:22" ht="20.05" customHeight="1" x14ac:dyDescent="0.45">
      <c r="A227" s="210" t="s">
        <v>299</v>
      </c>
      <c r="B227" s="210" t="s">
        <v>300</v>
      </c>
      <c r="C227" s="210"/>
      <c r="D227" s="210" t="s">
        <v>301</v>
      </c>
      <c r="E227" s="137" t="s">
        <v>30</v>
      </c>
      <c r="F227" s="137" t="s">
        <v>41</v>
      </c>
      <c r="G227" s="137">
        <v>1</v>
      </c>
      <c r="H227" s="210" t="s">
        <v>70</v>
      </c>
      <c r="I227" s="137">
        <v>1</v>
      </c>
      <c r="J227" s="225" t="s">
        <v>251</v>
      </c>
      <c r="K227" s="137">
        <v>8</v>
      </c>
      <c r="L227" s="137">
        <f t="shared" si="25"/>
        <v>8</v>
      </c>
      <c r="M227" s="137"/>
      <c r="N227" s="137"/>
      <c r="O227" s="93"/>
      <c r="P227" s="155"/>
      <c r="Q227" s="155"/>
      <c r="R227" s="93"/>
      <c r="S227" s="93"/>
      <c r="T227" s="93"/>
      <c r="U227" s="93"/>
      <c r="V227" s="93"/>
    </row>
    <row r="228" spans="1:22" ht="18" customHeight="1" x14ac:dyDescent="0.45">
      <c r="A228" s="210"/>
      <c r="B228" s="210"/>
      <c r="C228" s="210"/>
      <c r="D228" s="210"/>
      <c r="E228" s="137" t="s">
        <v>38</v>
      </c>
      <c r="F228" s="137" t="s">
        <v>130</v>
      </c>
      <c r="G228" s="137">
        <v>1</v>
      </c>
      <c r="H228" s="210"/>
      <c r="I228" s="137">
        <v>1</v>
      </c>
      <c r="J228" s="226"/>
      <c r="K228" s="137">
        <v>8</v>
      </c>
      <c r="L228" s="137">
        <f t="shared" si="25"/>
        <v>8</v>
      </c>
      <c r="M228" s="137"/>
      <c r="N228" s="137"/>
      <c r="O228" s="93"/>
      <c r="P228" s="155"/>
      <c r="Q228" s="155"/>
      <c r="R228" s="93"/>
      <c r="S228" s="93"/>
      <c r="T228" s="93"/>
      <c r="U228" s="93"/>
      <c r="V228" s="93"/>
    </row>
    <row r="229" spans="1:22" ht="18" customHeight="1" x14ac:dyDescent="0.45">
      <c r="A229" s="210"/>
      <c r="B229" s="210"/>
      <c r="C229" s="210"/>
      <c r="D229" s="210"/>
      <c r="E229" s="137" t="s">
        <v>40</v>
      </c>
      <c r="F229" s="137" t="s">
        <v>41</v>
      </c>
      <c r="G229" s="137">
        <v>1</v>
      </c>
      <c r="H229" s="210"/>
      <c r="I229" s="137">
        <v>1</v>
      </c>
      <c r="J229" s="227"/>
      <c r="K229" s="137">
        <v>8</v>
      </c>
      <c r="L229" s="137">
        <f t="shared" si="25"/>
        <v>8</v>
      </c>
      <c r="M229" s="137"/>
      <c r="N229" s="137"/>
      <c r="O229" s="93"/>
      <c r="P229" s="155"/>
      <c r="Q229" s="155"/>
      <c r="R229" s="93"/>
      <c r="S229" s="93"/>
      <c r="T229" s="93"/>
      <c r="U229" s="93"/>
      <c r="V229" s="93"/>
    </row>
    <row r="230" spans="1:22" ht="14.05" customHeight="1" x14ac:dyDescent="0.45">
      <c r="A230" s="210"/>
      <c r="B230" s="210"/>
      <c r="C230" s="210"/>
      <c r="D230" s="210" t="s">
        <v>234</v>
      </c>
      <c r="E230" s="137" t="s">
        <v>30</v>
      </c>
      <c r="F230" s="137" t="s">
        <v>41</v>
      </c>
      <c r="G230" s="137">
        <v>1</v>
      </c>
      <c r="H230" s="210" t="s">
        <v>267</v>
      </c>
      <c r="I230" s="137">
        <v>1</v>
      </c>
      <c r="J230" s="225" t="s">
        <v>251</v>
      </c>
      <c r="K230" s="137">
        <v>8</v>
      </c>
      <c r="L230" s="137">
        <f t="shared" si="25"/>
        <v>8</v>
      </c>
      <c r="M230" s="137"/>
      <c r="N230" s="137"/>
      <c r="O230" s="93"/>
      <c r="P230" s="155"/>
      <c r="Q230" s="155"/>
      <c r="R230" s="93"/>
      <c r="S230" s="93"/>
      <c r="T230" s="93"/>
      <c r="U230" s="93"/>
      <c r="V230" s="93"/>
    </row>
    <row r="231" spans="1:22" ht="16" customHeight="1" x14ac:dyDescent="0.45">
      <c r="A231" s="210"/>
      <c r="B231" s="210"/>
      <c r="C231" s="210"/>
      <c r="D231" s="210"/>
      <c r="E231" s="137" t="s">
        <v>38</v>
      </c>
      <c r="F231" s="137" t="s">
        <v>130</v>
      </c>
      <c r="G231" s="137">
        <v>1</v>
      </c>
      <c r="H231" s="210"/>
      <c r="I231" s="137">
        <v>1</v>
      </c>
      <c r="J231" s="226"/>
      <c r="K231" s="137">
        <v>8</v>
      </c>
      <c r="L231" s="137">
        <f t="shared" si="25"/>
        <v>8</v>
      </c>
      <c r="M231" s="137"/>
      <c r="N231" s="137"/>
      <c r="O231" s="93"/>
      <c r="P231" s="155"/>
      <c r="Q231" s="155"/>
      <c r="R231" s="93"/>
      <c r="S231" s="93"/>
      <c r="T231" s="93"/>
      <c r="U231" s="93"/>
      <c r="V231" s="93"/>
    </row>
    <row r="232" spans="1:22" ht="17.05" customHeight="1" x14ac:dyDescent="0.45">
      <c r="A232" s="210"/>
      <c r="B232" s="210"/>
      <c r="C232" s="210"/>
      <c r="D232" s="210"/>
      <c r="E232" s="137" t="s">
        <v>40</v>
      </c>
      <c r="F232" s="137" t="s">
        <v>41</v>
      </c>
      <c r="G232" s="137">
        <v>1</v>
      </c>
      <c r="H232" s="210"/>
      <c r="I232" s="137">
        <v>1</v>
      </c>
      <c r="J232" s="227"/>
      <c r="K232" s="137">
        <v>8</v>
      </c>
      <c r="L232" s="137">
        <f t="shared" si="25"/>
        <v>8</v>
      </c>
      <c r="M232" s="137"/>
      <c r="N232" s="137"/>
      <c r="O232" s="93"/>
      <c r="P232" s="155"/>
      <c r="Q232" s="155"/>
      <c r="R232" s="93"/>
      <c r="S232" s="93"/>
      <c r="T232" s="93"/>
      <c r="U232" s="93"/>
      <c r="V232" s="93"/>
    </row>
    <row r="233" spans="1:22" ht="20.05" customHeight="1" x14ac:dyDescent="0.45">
      <c r="A233" s="210" t="s">
        <v>302</v>
      </c>
      <c r="B233" s="210" t="s">
        <v>303</v>
      </c>
      <c r="C233" s="210"/>
      <c r="D233" s="210" t="s">
        <v>304</v>
      </c>
      <c r="E233" s="137" t="s">
        <v>30</v>
      </c>
      <c r="F233" s="137" t="s">
        <v>41</v>
      </c>
      <c r="G233" s="137">
        <v>1</v>
      </c>
      <c r="H233" s="210" t="s">
        <v>141</v>
      </c>
      <c r="I233" s="137">
        <v>1</v>
      </c>
      <c r="J233" s="225" t="s">
        <v>251</v>
      </c>
      <c r="K233" s="137">
        <v>8</v>
      </c>
      <c r="L233" s="137">
        <f t="shared" si="25"/>
        <v>8</v>
      </c>
      <c r="M233" s="137"/>
      <c r="N233" s="137"/>
      <c r="O233" s="93"/>
      <c r="P233" s="155"/>
      <c r="Q233" s="155"/>
      <c r="R233" s="93"/>
      <c r="S233" s="93"/>
      <c r="T233" s="93"/>
      <c r="U233" s="93"/>
      <c r="V233" s="93"/>
    </row>
    <row r="234" spans="1:22" ht="20.05" customHeight="1" x14ac:dyDescent="0.45">
      <c r="A234" s="210"/>
      <c r="B234" s="210"/>
      <c r="C234" s="210"/>
      <c r="D234" s="210"/>
      <c r="E234" s="137" t="s">
        <v>38</v>
      </c>
      <c r="F234" s="137" t="s">
        <v>305</v>
      </c>
      <c r="G234" s="137">
        <v>1</v>
      </c>
      <c r="H234" s="210"/>
      <c r="I234" s="137">
        <v>1</v>
      </c>
      <c r="J234" s="226"/>
      <c r="K234" s="137">
        <v>8</v>
      </c>
      <c r="L234" s="137">
        <f t="shared" ref="L234:L241" si="26">G234*I234*K234</f>
        <v>8</v>
      </c>
      <c r="M234" s="137"/>
      <c r="N234" s="137"/>
      <c r="O234" s="93"/>
      <c r="P234" s="155"/>
      <c r="Q234" s="155"/>
      <c r="R234" s="93"/>
      <c r="S234" s="93"/>
      <c r="T234" s="93"/>
      <c r="U234" s="93"/>
      <c r="V234" s="93"/>
    </row>
    <row r="235" spans="1:22" ht="20.05" customHeight="1" x14ac:dyDescent="0.45">
      <c r="A235" s="210"/>
      <c r="B235" s="210"/>
      <c r="C235" s="210"/>
      <c r="D235" s="210"/>
      <c r="E235" s="137" t="s">
        <v>40</v>
      </c>
      <c r="F235" s="137" t="s">
        <v>41</v>
      </c>
      <c r="G235" s="137">
        <v>1</v>
      </c>
      <c r="H235" s="210"/>
      <c r="I235" s="137">
        <v>1</v>
      </c>
      <c r="J235" s="227"/>
      <c r="K235" s="137">
        <v>8</v>
      </c>
      <c r="L235" s="137">
        <f t="shared" si="26"/>
        <v>8</v>
      </c>
      <c r="M235" s="137"/>
      <c r="N235" s="137"/>
      <c r="O235" s="93"/>
      <c r="P235" s="155"/>
      <c r="Q235" s="155"/>
      <c r="R235" s="93"/>
      <c r="S235" s="93"/>
      <c r="T235" s="93"/>
      <c r="U235" s="93"/>
      <c r="V235" s="93"/>
    </row>
    <row r="236" spans="1:22" ht="20.05" customHeight="1" x14ac:dyDescent="0.45">
      <c r="A236" s="210" t="s">
        <v>306</v>
      </c>
      <c r="B236" s="210" t="s">
        <v>307</v>
      </c>
      <c r="C236" s="210"/>
      <c r="D236" s="210" t="s">
        <v>308</v>
      </c>
      <c r="E236" s="137" t="s">
        <v>30</v>
      </c>
      <c r="F236" s="137" t="s">
        <v>41</v>
      </c>
      <c r="G236" s="137">
        <v>1</v>
      </c>
      <c r="H236" s="210" t="s">
        <v>141</v>
      </c>
      <c r="I236" s="137">
        <v>1</v>
      </c>
      <c r="J236" s="225" t="s">
        <v>251</v>
      </c>
      <c r="K236" s="137">
        <v>8</v>
      </c>
      <c r="L236" s="137">
        <f t="shared" si="26"/>
        <v>8</v>
      </c>
      <c r="M236" s="137"/>
      <c r="N236" s="137"/>
      <c r="O236" s="93"/>
      <c r="P236" s="155"/>
      <c r="Q236" s="155"/>
      <c r="R236" s="93"/>
      <c r="S236" s="93"/>
      <c r="T236" s="93"/>
      <c r="U236" s="93"/>
      <c r="V236" s="93"/>
    </row>
    <row r="237" spans="1:22" ht="20.05" customHeight="1" x14ac:dyDescent="0.45">
      <c r="A237" s="210"/>
      <c r="B237" s="210"/>
      <c r="C237" s="210"/>
      <c r="D237" s="210"/>
      <c r="E237" s="137" t="s">
        <v>38</v>
      </c>
      <c r="F237" s="137" t="s">
        <v>130</v>
      </c>
      <c r="G237" s="137">
        <v>1</v>
      </c>
      <c r="H237" s="210"/>
      <c r="I237" s="137">
        <v>1</v>
      </c>
      <c r="J237" s="226"/>
      <c r="K237" s="137">
        <v>8</v>
      </c>
      <c r="L237" s="137">
        <f t="shared" si="26"/>
        <v>8</v>
      </c>
      <c r="M237" s="137"/>
      <c r="N237" s="137"/>
      <c r="O237" s="93"/>
      <c r="P237" s="155"/>
      <c r="Q237" s="155"/>
      <c r="R237" s="93"/>
      <c r="S237" s="93"/>
      <c r="T237" s="93"/>
      <c r="U237" s="93"/>
      <c r="V237" s="93"/>
    </row>
    <row r="238" spans="1:22" ht="20.05" customHeight="1" x14ac:dyDescent="0.45">
      <c r="A238" s="210"/>
      <c r="B238" s="210"/>
      <c r="C238" s="210"/>
      <c r="D238" s="210"/>
      <c r="E238" s="137" t="s">
        <v>40</v>
      </c>
      <c r="F238" s="137" t="s">
        <v>41</v>
      </c>
      <c r="G238" s="137">
        <v>1</v>
      </c>
      <c r="H238" s="210"/>
      <c r="I238" s="137">
        <v>1</v>
      </c>
      <c r="J238" s="227"/>
      <c r="K238" s="137">
        <v>8</v>
      </c>
      <c r="L238" s="137">
        <f t="shared" si="26"/>
        <v>8</v>
      </c>
      <c r="M238" s="137"/>
      <c r="N238" s="137"/>
      <c r="O238" s="93"/>
      <c r="P238" s="155"/>
      <c r="Q238" s="155"/>
      <c r="R238" s="93"/>
      <c r="S238" s="93"/>
      <c r="T238" s="93"/>
      <c r="U238" s="93"/>
      <c r="V238" s="93"/>
    </row>
    <row r="239" spans="1:22" ht="20.05" customHeight="1" x14ac:dyDescent="0.45">
      <c r="A239" s="210" t="s">
        <v>309</v>
      </c>
      <c r="B239" s="210" t="s">
        <v>310</v>
      </c>
      <c r="C239" s="210"/>
      <c r="D239" s="210" t="s">
        <v>311</v>
      </c>
      <c r="E239" s="137" t="s">
        <v>30</v>
      </c>
      <c r="F239" s="137" t="s">
        <v>41</v>
      </c>
      <c r="G239" s="137">
        <v>1</v>
      </c>
      <c r="H239" s="210" t="s">
        <v>141</v>
      </c>
      <c r="I239" s="137">
        <v>1</v>
      </c>
      <c r="J239" s="225" t="s">
        <v>251</v>
      </c>
      <c r="K239" s="137">
        <v>8</v>
      </c>
      <c r="L239" s="137">
        <f t="shared" si="26"/>
        <v>8</v>
      </c>
      <c r="M239" s="137"/>
      <c r="N239" s="137"/>
      <c r="O239" s="93"/>
      <c r="P239" s="155"/>
      <c r="Q239" s="155"/>
      <c r="R239" s="93"/>
      <c r="S239" s="93"/>
      <c r="T239" s="93"/>
      <c r="U239" s="93"/>
      <c r="V239" s="93"/>
    </row>
    <row r="240" spans="1:22" ht="20.05" customHeight="1" x14ac:dyDescent="0.45">
      <c r="A240" s="210"/>
      <c r="B240" s="210"/>
      <c r="C240" s="210"/>
      <c r="D240" s="210"/>
      <c r="E240" s="137" t="s">
        <v>38</v>
      </c>
      <c r="F240" s="137" t="s">
        <v>49</v>
      </c>
      <c r="G240" s="137">
        <v>1</v>
      </c>
      <c r="H240" s="210"/>
      <c r="I240" s="137">
        <v>1</v>
      </c>
      <c r="J240" s="226"/>
      <c r="K240" s="137">
        <v>8</v>
      </c>
      <c r="L240" s="137">
        <f t="shared" si="26"/>
        <v>8</v>
      </c>
      <c r="M240" s="137"/>
      <c r="N240" s="137"/>
      <c r="O240" s="93"/>
      <c r="P240" s="155"/>
      <c r="Q240" s="155"/>
      <c r="R240" s="93"/>
      <c r="S240" s="93"/>
      <c r="T240" s="93"/>
      <c r="U240" s="93"/>
      <c r="V240" s="93"/>
    </row>
    <row r="241" spans="1:22" ht="20.05" customHeight="1" x14ac:dyDescent="0.45">
      <c r="A241" s="210"/>
      <c r="B241" s="210"/>
      <c r="C241" s="210"/>
      <c r="D241" s="210"/>
      <c r="E241" s="137" t="s">
        <v>40</v>
      </c>
      <c r="F241" s="137" t="s">
        <v>41</v>
      </c>
      <c r="G241" s="137">
        <v>1</v>
      </c>
      <c r="H241" s="210"/>
      <c r="I241" s="137">
        <v>1</v>
      </c>
      <c r="J241" s="227"/>
      <c r="K241" s="137">
        <v>8</v>
      </c>
      <c r="L241" s="137">
        <f t="shared" si="26"/>
        <v>8</v>
      </c>
      <c r="M241" s="137"/>
      <c r="N241" s="137"/>
      <c r="O241" s="93"/>
      <c r="P241" s="155"/>
      <c r="Q241" s="155"/>
      <c r="R241" s="93"/>
      <c r="S241" s="93"/>
      <c r="T241" s="93"/>
      <c r="U241" s="93"/>
      <c r="V241" s="93"/>
    </row>
  </sheetData>
  <mergeCells count="656">
    <mergeCell ref="B239:C241"/>
    <mergeCell ref="B200:C202"/>
    <mergeCell ref="B227:C232"/>
    <mergeCell ref="B203:C208"/>
    <mergeCell ref="B221:C226"/>
    <mergeCell ref="B215:C220"/>
    <mergeCell ref="B137:C142"/>
    <mergeCell ref="B149:C154"/>
    <mergeCell ref="B191:C196"/>
    <mergeCell ref="B209:C214"/>
    <mergeCell ref="B185:C190"/>
    <mergeCell ref="B236:C238"/>
    <mergeCell ref="B197:C199"/>
    <mergeCell ref="B8:C19"/>
    <mergeCell ref="B182:C184"/>
    <mergeCell ref="B134:C136"/>
    <mergeCell ref="B122:C124"/>
    <mergeCell ref="B146:C148"/>
    <mergeCell ref="B77:C79"/>
    <mergeCell ref="B80:C85"/>
    <mergeCell ref="B125:C130"/>
    <mergeCell ref="B20:C25"/>
    <mergeCell ref="B173:C175"/>
    <mergeCell ref="B113:C115"/>
    <mergeCell ref="B68:C70"/>
    <mergeCell ref="B176:C178"/>
    <mergeCell ref="B116:C118"/>
    <mergeCell ref="B71:C73"/>
    <mergeCell ref="B233:C235"/>
    <mergeCell ref="B179:C181"/>
    <mergeCell ref="B131:C133"/>
    <mergeCell ref="B119:C121"/>
    <mergeCell ref="B143:C145"/>
    <mergeCell ref="B74:C76"/>
    <mergeCell ref="B170:C172"/>
    <mergeCell ref="B41:C43"/>
    <mergeCell ref="B44:C46"/>
    <mergeCell ref="B167:C169"/>
    <mergeCell ref="B92:C94"/>
    <mergeCell ref="B47:C49"/>
    <mergeCell ref="B86:C88"/>
    <mergeCell ref="B50:C52"/>
    <mergeCell ref="B110:C112"/>
    <mergeCell ref="B164:C166"/>
    <mergeCell ref="B59:C61"/>
    <mergeCell ref="B161:C163"/>
    <mergeCell ref="B56:C58"/>
    <mergeCell ref="B53:C55"/>
    <mergeCell ref="B107:C109"/>
    <mergeCell ref="B158:C160"/>
    <mergeCell ref="B65:C67"/>
    <mergeCell ref="B62:C64"/>
    <mergeCell ref="B104:C106"/>
    <mergeCell ref="B155:C157"/>
    <mergeCell ref="B101:C103"/>
    <mergeCell ref="B98:C100"/>
    <mergeCell ref="B95:C97"/>
    <mergeCell ref="O161:O163"/>
    <mergeCell ref="V6:V7"/>
    <mergeCell ref="B6:C7"/>
    <mergeCell ref="E6:F7"/>
    <mergeCell ref="B26:C28"/>
    <mergeCell ref="B29:C31"/>
    <mergeCell ref="B32:C34"/>
    <mergeCell ref="B35:C37"/>
    <mergeCell ref="B38:C40"/>
    <mergeCell ref="B89:C91"/>
    <mergeCell ref="N146:N148"/>
    <mergeCell ref="O6:O7"/>
    <mergeCell ref="O8:O10"/>
    <mergeCell ref="O11:O13"/>
    <mergeCell ref="O14:O16"/>
    <mergeCell ref="O17:O19"/>
    <mergeCell ref="O74:O85"/>
    <mergeCell ref="O89:O100"/>
    <mergeCell ref="O101:O109"/>
    <mergeCell ref="O110:O124"/>
    <mergeCell ref="O125:O142"/>
    <mergeCell ref="O143:O160"/>
    <mergeCell ref="N104:N106"/>
    <mergeCell ref="N107:N109"/>
    <mergeCell ref="N110:N112"/>
    <mergeCell ref="N113:N115"/>
    <mergeCell ref="N116:N118"/>
    <mergeCell ref="N131:N133"/>
    <mergeCell ref="N134:N136"/>
    <mergeCell ref="N137:N142"/>
    <mergeCell ref="N143:N145"/>
    <mergeCell ref="N71:N73"/>
    <mergeCell ref="N74:N76"/>
    <mergeCell ref="N77:N79"/>
    <mergeCell ref="N80:N85"/>
    <mergeCell ref="N89:N91"/>
    <mergeCell ref="N92:N94"/>
    <mergeCell ref="N95:N97"/>
    <mergeCell ref="N98:N100"/>
    <mergeCell ref="N101:N103"/>
    <mergeCell ref="N23:N25"/>
    <mergeCell ref="N26:N28"/>
    <mergeCell ref="N29:N31"/>
    <mergeCell ref="N32:N34"/>
    <mergeCell ref="N41:N43"/>
    <mergeCell ref="N44:N46"/>
    <mergeCell ref="N47:N49"/>
    <mergeCell ref="N50:N52"/>
    <mergeCell ref="N68:N70"/>
    <mergeCell ref="M8:M10"/>
    <mergeCell ref="M11:M13"/>
    <mergeCell ref="M14:M16"/>
    <mergeCell ref="M17:M19"/>
    <mergeCell ref="M20:M22"/>
    <mergeCell ref="N6:N7"/>
    <mergeCell ref="N8:N10"/>
    <mergeCell ref="N11:N13"/>
    <mergeCell ref="N14:N16"/>
    <mergeCell ref="N17:N19"/>
    <mergeCell ref="N20:N22"/>
    <mergeCell ref="J203:J208"/>
    <mergeCell ref="J209:J214"/>
    <mergeCell ref="J215:J220"/>
    <mergeCell ref="J221:J226"/>
    <mergeCell ref="J227:J229"/>
    <mergeCell ref="J230:J232"/>
    <mergeCell ref="J233:J235"/>
    <mergeCell ref="J236:J238"/>
    <mergeCell ref="J239:J241"/>
    <mergeCell ref="J164:J169"/>
    <mergeCell ref="J170:J172"/>
    <mergeCell ref="J173:J175"/>
    <mergeCell ref="J176:J181"/>
    <mergeCell ref="J182:J184"/>
    <mergeCell ref="J185:J190"/>
    <mergeCell ref="J191:J196"/>
    <mergeCell ref="J197:J199"/>
    <mergeCell ref="J200:J202"/>
    <mergeCell ref="J125:J130"/>
    <mergeCell ref="J131:J133"/>
    <mergeCell ref="J134:J136"/>
    <mergeCell ref="J137:J142"/>
    <mergeCell ref="J143:J145"/>
    <mergeCell ref="J146:J148"/>
    <mergeCell ref="J149:J157"/>
    <mergeCell ref="J158:J160"/>
    <mergeCell ref="J161:J163"/>
    <mergeCell ref="J98:J100"/>
    <mergeCell ref="J101:J103"/>
    <mergeCell ref="J104:J106"/>
    <mergeCell ref="J107:J109"/>
    <mergeCell ref="J110:J112"/>
    <mergeCell ref="J113:J115"/>
    <mergeCell ref="J116:J118"/>
    <mergeCell ref="J119:J121"/>
    <mergeCell ref="J122:J124"/>
    <mergeCell ref="J68:J70"/>
    <mergeCell ref="J71:J73"/>
    <mergeCell ref="J74:J76"/>
    <mergeCell ref="J77:J79"/>
    <mergeCell ref="J80:J85"/>
    <mergeCell ref="J86:J88"/>
    <mergeCell ref="J89:J91"/>
    <mergeCell ref="J92:J94"/>
    <mergeCell ref="J95:J97"/>
    <mergeCell ref="H230:H232"/>
    <mergeCell ref="H233:H235"/>
    <mergeCell ref="H236:H238"/>
    <mergeCell ref="H239:H241"/>
    <mergeCell ref="J8:J10"/>
    <mergeCell ref="J11:J13"/>
    <mergeCell ref="J14:J16"/>
    <mergeCell ref="J17:J19"/>
    <mergeCell ref="J20:J22"/>
    <mergeCell ref="J23:J25"/>
    <mergeCell ref="J26:J28"/>
    <mergeCell ref="J29:J31"/>
    <mergeCell ref="J32:J34"/>
    <mergeCell ref="J35:J37"/>
    <mergeCell ref="J38:J40"/>
    <mergeCell ref="J41:J43"/>
    <mergeCell ref="J44:J46"/>
    <mergeCell ref="J47:J49"/>
    <mergeCell ref="J50:J52"/>
    <mergeCell ref="J53:J55"/>
    <mergeCell ref="J56:J58"/>
    <mergeCell ref="J59:J61"/>
    <mergeCell ref="J62:J64"/>
    <mergeCell ref="J65:J67"/>
    <mergeCell ref="H203:H205"/>
    <mergeCell ref="H206:H208"/>
    <mergeCell ref="H209:H211"/>
    <mergeCell ref="H212:H214"/>
    <mergeCell ref="H215:H217"/>
    <mergeCell ref="H218:H220"/>
    <mergeCell ref="H221:H223"/>
    <mergeCell ref="H224:H226"/>
    <mergeCell ref="H227:H229"/>
    <mergeCell ref="H176:H178"/>
    <mergeCell ref="H179:H181"/>
    <mergeCell ref="H182:H184"/>
    <mergeCell ref="H185:H187"/>
    <mergeCell ref="H188:H190"/>
    <mergeCell ref="H191:H193"/>
    <mergeCell ref="H194:H196"/>
    <mergeCell ref="H197:H199"/>
    <mergeCell ref="H200:H202"/>
    <mergeCell ref="H149:H151"/>
    <mergeCell ref="H152:H154"/>
    <mergeCell ref="H155:H157"/>
    <mergeCell ref="H158:H160"/>
    <mergeCell ref="H161:H163"/>
    <mergeCell ref="H164:H166"/>
    <mergeCell ref="H167:H169"/>
    <mergeCell ref="H170:H172"/>
    <mergeCell ref="H173:H175"/>
    <mergeCell ref="H122:H124"/>
    <mergeCell ref="H125:H127"/>
    <mergeCell ref="H128:H130"/>
    <mergeCell ref="H131:H133"/>
    <mergeCell ref="H134:H136"/>
    <mergeCell ref="H137:H139"/>
    <mergeCell ref="H140:H142"/>
    <mergeCell ref="H143:H145"/>
    <mergeCell ref="H146:H148"/>
    <mergeCell ref="H95:H97"/>
    <mergeCell ref="H98:H100"/>
    <mergeCell ref="H101:H103"/>
    <mergeCell ref="H104:H106"/>
    <mergeCell ref="H107:H109"/>
    <mergeCell ref="H110:H112"/>
    <mergeCell ref="H113:H115"/>
    <mergeCell ref="H116:H118"/>
    <mergeCell ref="H119:H121"/>
    <mergeCell ref="H68:H70"/>
    <mergeCell ref="H71:H73"/>
    <mergeCell ref="H74:H76"/>
    <mergeCell ref="H77:H79"/>
    <mergeCell ref="H80:H82"/>
    <mergeCell ref="H83:H85"/>
    <mergeCell ref="H86:H88"/>
    <mergeCell ref="H89:H91"/>
    <mergeCell ref="H92:H94"/>
    <mergeCell ref="D233:D235"/>
    <mergeCell ref="D236:D238"/>
    <mergeCell ref="D239:D241"/>
    <mergeCell ref="G6:G7"/>
    <mergeCell ref="H8:H10"/>
    <mergeCell ref="H11:H13"/>
    <mergeCell ref="H14:H16"/>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D206:D208"/>
    <mergeCell ref="D209:D211"/>
    <mergeCell ref="D212:D214"/>
    <mergeCell ref="D215:D217"/>
    <mergeCell ref="D218:D220"/>
    <mergeCell ref="D221:D223"/>
    <mergeCell ref="D224:D226"/>
    <mergeCell ref="D227:D229"/>
    <mergeCell ref="D230:D232"/>
    <mergeCell ref="D179:D181"/>
    <mergeCell ref="D182:D184"/>
    <mergeCell ref="D185:D187"/>
    <mergeCell ref="D188:D190"/>
    <mergeCell ref="D191:D193"/>
    <mergeCell ref="D194:D196"/>
    <mergeCell ref="D197:D199"/>
    <mergeCell ref="D200:D202"/>
    <mergeCell ref="D203:D205"/>
    <mergeCell ref="D152:D154"/>
    <mergeCell ref="D155:D157"/>
    <mergeCell ref="D158:D160"/>
    <mergeCell ref="D161:D163"/>
    <mergeCell ref="D164:D166"/>
    <mergeCell ref="D167:D169"/>
    <mergeCell ref="D170:D172"/>
    <mergeCell ref="D173:D175"/>
    <mergeCell ref="D176:D178"/>
    <mergeCell ref="D125:D127"/>
    <mergeCell ref="D128:D130"/>
    <mergeCell ref="D131:D133"/>
    <mergeCell ref="D134:D136"/>
    <mergeCell ref="D137:D139"/>
    <mergeCell ref="D140:D142"/>
    <mergeCell ref="D143:D145"/>
    <mergeCell ref="D146:D148"/>
    <mergeCell ref="D149:D151"/>
    <mergeCell ref="D98:D100"/>
    <mergeCell ref="D101:D103"/>
    <mergeCell ref="D104:D106"/>
    <mergeCell ref="D107:D109"/>
    <mergeCell ref="D110:D112"/>
    <mergeCell ref="D113:D115"/>
    <mergeCell ref="D116:D118"/>
    <mergeCell ref="D119:D121"/>
    <mergeCell ref="D122:D124"/>
    <mergeCell ref="D71:D73"/>
    <mergeCell ref="D74:D76"/>
    <mergeCell ref="D77:D79"/>
    <mergeCell ref="D80:D82"/>
    <mergeCell ref="D83:D85"/>
    <mergeCell ref="D86:D88"/>
    <mergeCell ref="D89:D91"/>
    <mergeCell ref="D92:D94"/>
    <mergeCell ref="D95:D97"/>
    <mergeCell ref="A236:A238"/>
    <mergeCell ref="A239:A241"/>
    <mergeCell ref="D6: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A191:A196"/>
    <mergeCell ref="A197:A199"/>
    <mergeCell ref="A200:A202"/>
    <mergeCell ref="A203:A208"/>
    <mergeCell ref="A209:A214"/>
    <mergeCell ref="A215:A220"/>
    <mergeCell ref="A221:A226"/>
    <mergeCell ref="A227:A232"/>
    <mergeCell ref="A233:A235"/>
    <mergeCell ref="A149:A157"/>
    <mergeCell ref="A158:A160"/>
    <mergeCell ref="A161:A163"/>
    <mergeCell ref="A164:A169"/>
    <mergeCell ref="A170:A172"/>
    <mergeCell ref="A173:A175"/>
    <mergeCell ref="A176:A181"/>
    <mergeCell ref="A182:A184"/>
    <mergeCell ref="A185:A190"/>
    <mergeCell ref="A116:A118"/>
    <mergeCell ref="A119:A121"/>
    <mergeCell ref="A122:A124"/>
    <mergeCell ref="A125:A130"/>
    <mergeCell ref="A131:A133"/>
    <mergeCell ref="A134:A136"/>
    <mergeCell ref="A137:A142"/>
    <mergeCell ref="A143:A145"/>
    <mergeCell ref="A146:A148"/>
    <mergeCell ref="A89:A91"/>
    <mergeCell ref="A92:A94"/>
    <mergeCell ref="A95:A97"/>
    <mergeCell ref="A98:A100"/>
    <mergeCell ref="A101:A103"/>
    <mergeCell ref="A104:A106"/>
    <mergeCell ref="A107:A109"/>
    <mergeCell ref="A110:A112"/>
    <mergeCell ref="A113:A115"/>
    <mergeCell ref="P241:Q241"/>
    <mergeCell ref="A6:A7"/>
    <mergeCell ref="A8:A19"/>
    <mergeCell ref="A20: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5"/>
    <mergeCell ref="A86:A88"/>
    <mergeCell ref="P232:Q232"/>
    <mergeCell ref="P233:Q233"/>
    <mergeCell ref="P234:Q234"/>
    <mergeCell ref="P235:Q235"/>
    <mergeCell ref="P236:Q236"/>
    <mergeCell ref="P237:Q237"/>
    <mergeCell ref="P238:Q238"/>
    <mergeCell ref="P239:Q239"/>
    <mergeCell ref="P240:Q240"/>
    <mergeCell ref="P223:Q223"/>
    <mergeCell ref="P224:Q224"/>
    <mergeCell ref="P225:Q225"/>
    <mergeCell ref="P226:Q226"/>
    <mergeCell ref="P227:Q227"/>
    <mergeCell ref="P228:Q228"/>
    <mergeCell ref="P229:Q229"/>
    <mergeCell ref="P230:Q230"/>
    <mergeCell ref="P231:Q231"/>
    <mergeCell ref="P214:Q214"/>
    <mergeCell ref="P215:Q215"/>
    <mergeCell ref="P216:Q216"/>
    <mergeCell ref="P217:Q217"/>
    <mergeCell ref="P218:Q218"/>
    <mergeCell ref="P219:Q219"/>
    <mergeCell ref="P220:Q220"/>
    <mergeCell ref="P221:Q221"/>
    <mergeCell ref="P222:Q222"/>
    <mergeCell ref="P205:Q205"/>
    <mergeCell ref="P206:Q206"/>
    <mergeCell ref="P207:Q207"/>
    <mergeCell ref="P208:Q208"/>
    <mergeCell ref="P209:Q209"/>
    <mergeCell ref="P210:Q210"/>
    <mergeCell ref="P211:Q211"/>
    <mergeCell ref="P212:Q212"/>
    <mergeCell ref="P213:Q213"/>
    <mergeCell ref="P196:Q196"/>
    <mergeCell ref="P197:Q197"/>
    <mergeCell ref="P198:Q198"/>
    <mergeCell ref="P199:Q199"/>
    <mergeCell ref="P200:Q200"/>
    <mergeCell ref="P201:Q201"/>
    <mergeCell ref="P202:Q202"/>
    <mergeCell ref="P203:Q203"/>
    <mergeCell ref="P204:Q204"/>
    <mergeCell ref="P187:Q187"/>
    <mergeCell ref="P188:Q188"/>
    <mergeCell ref="P189:Q189"/>
    <mergeCell ref="P190:Q190"/>
    <mergeCell ref="P191:Q191"/>
    <mergeCell ref="P192:Q192"/>
    <mergeCell ref="P193:Q193"/>
    <mergeCell ref="P194:Q194"/>
    <mergeCell ref="P195:Q195"/>
    <mergeCell ref="P178:Q178"/>
    <mergeCell ref="P179:Q179"/>
    <mergeCell ref="P180:Q180"/>
    <mergeCell ref="P181:Q181"/>
    <mergeCell ref="P182:Q182"/>
    <mergeCell ref="P183:Q183"/>
    <mergeCell ref="P184:Q184"/>
    <mergeCell ref="P185:Q185"/>
    <mergeCell ref="P186:Q186"/>
    <mergeCell ref="P169:Q169"/>
    <mergeCell ref="P170:Q170"/>
    <mergeCell ref="P171:Q171"/>
    <mergeCell ref="P172:Q172"/>
    <mergeCell ref="P173:Q173"/>
    <mergeCell ref="P174:Q174"/>
    <mergeCell ref="P175:Q175"/>
    <mergeCell ref="P176:Q176"/>
    <mergeCell ref="P177:Q177"/>
    <mergeCell ref="P160:Q160"/>
    <mergeCell ref="P161:Q161"/>
    <mergeCell ref="P162:Q162"/>
    <mergeCell ref="P163:Q163"/>
    <mergeCell ref="P164:Q164"/>
    <mergeCell ref="P165:Q165"/>
    <mergeCell ref="P166:Q166"/>
    <mergeCell ref="P167:Q167"/>
    <mergeCell ref="P168:Q168"/>
    <mergeCell ref="P151:Q151"/>
    <mergeCell ref="P152:Q152"/>
    <mergeCell ref="P153:Q153"/>
    <mergeCell ref="P154:Q154"/>
    <mergeCell ref="P155:Q155"/>
    <mergeCell ref="P156:Q156"/>
    <mergeCell ref="P157:Q157"/>
    <mergeCell ref="P158:Q158"/>
    <mergeCell ref="P159:Q159"/>
    <mergeCell ref="P142:Q142"/>
    <mergeCell ref="P143:Q143"/>
    <mergeCell ref="P144:Q144"/>
    <mergeCell ref="P145:Q145"/>
    <mergeCell ref="P146:Q146"/>
    <mergeCell ref="P147:Q147"/>
    <mergeCell ref="P148:Q148"/>
    <mergeCell ref="P149:Q149"/>
    <mergeCell ref="P150:Q150"/>
    <mergeCell ref="P133:Q133"/>
    <mergeCell ref="P134:Q134"/>
    <mergeCell ref="P135:Q135"/>
    <mergeCell ref="P136:Q136"/>
    <mergeCell ref="P137:Q137"/>
    <mergeCell ref="P138:Q138"/>
    <mergeCell ref="P139:Q139"/>
    <mergeCell ref="P140:Q140"/>
    <mergeCell ref="P141:Q141"/>
    <mergeCell ref="P124:Q124"/>
    <mergeCell ref="P125:Q125"/>
    <mergeCell ref="P126:Q126"/>
    <mergeCell ref="P127:Q127"/>
    <mergeCell ref="P128:Q128"/>
    <mergeCell ref="P129:Q129"/>
    <mergeCell ref="P130:Q130"/>
    <mergeCell ref="P131:Q131"/>
    <mergeCell ref="P132:Q132"/>
    <mergeCell ref="P115:Q115"/>
    <mergeCell ref="P116:Q116"/>
    <mergeCell ref="P117:Q117"/>
    <mergeCell ref="P118:Q118"/>
    <mergeCell ref="P119:Q119"/>
    <mergeCell ref="P120:Q120"/>
    <mergeCell ref="P121:Q121"/>
    <mergeCell ref="P122:Q122"/>
    <mergeCell ref="P123:Q123"/>
    <mergeCell ref="P106:Q106"/>
    <mergeCell ref="P107:Q107"/>
    <mergeCell ref="P108:Q108"/>
    <mergeCell ref="P109:Q109"/>
    <mergeCell ref="P110:Q110"/>
    <mergeCell ref="P111:Q111"/>
    <mergeCell ref="P112:Q112"/>
    <mergeCell ref="P113:Q113"/>
    <mergeCell ref="P114:Q114"/>
    <mergeCell ref="P97:Q97"/>
    <mergeCell ref="P98:Q98"/>
    <mergeCell ref="P99:Q99"/>
    <mergeCell ref="P100:Q100"/>
    <mergeCell ref="P101:Q101"/>
    <mergeCell ref="P102:Q102"/>
    <mergeCell ref="P103:Q103"/>
    <mergeCell ref="P104:Q104"/>
    <mergeCell ref="P105:Q105"/>
    <mergeCell ref="P88:Q88"/>
    <mergeCell ref="P89:Q89"/>
    <mergeCell ref="P90:Q90"/>
    <mergeCell ref="P91:Q91"/>
    <mergeCell ref="P92:Q92"/>
    <mergeCell ref="P93:Q93"/>
    <mergeCell ref="P94:Q94"/>
    <mergeCell ref="P95:Q95"/>
    <mergeCell ref="P96:Q96"/>
    <mergeCell ref="P79:Q79"/>
    <mergeCell ref="P80:Q80"/>
    <mergeCell ref="P81:Q81"/>
    <mergeCell ref="P82:Q82"/>
    <mergeCell ref="P83:Q83"/>
    <mergeCell ref="P84:Q84"/>
    <mergeCell ref="P85:Q85"/>
    <mergeCell ref="P86:Q86"/>
    <mergeCell ref="P87:Q87"/>
    <mergeCell ref="P70:Q70"/>
    <mergeCell ref="P71:Q71"/>
    <mergeCell ref="P72:Q72"/>
    <mergeCell ref="P73:Q73"/>
    <mergeCell ref="P74:Q74"/>
    <mergeCell ref="P75:Q75"/>
    <mergeCell ref="P76:Q76"/>
    <mergeCell ref="P77:Q77"/>
    <mergeCell ref="P78:Q78"/>
    <mergeCell ref="P61:Q61"/>
    <mergeCell ref="P62:Q62"/>
    <mergeCell ref="P63:Q63"/>
    <mergeCell ref="P64:Q64"/>
    <mergeCell ref="P65:Q65"/>
    <mergeCell ref="P66:Q66"/>
    <mergeCell ref="P67:Q67"/>
    <mergeCell ref="P68:Q68"/>
    <mergeCell ref="P69:Q69"/>
    <mergeCell ref="P52:Q52"/>
    <mergeCell ref="P53:Q53"/>
    <mergeCell ref="P54:Q54"/>
    <mergeCell ref="P55:Q55"/>
    <mergeCell ref="P56:Q56"/>
    <mergeCell ref="P57:Q57"/>
    <mergeCell ref="P58:Q58"/>
    <mergeCell ref="P59:Q59"/>
    <mergeCell ref="P60:Q60"/>
    <mergeCell ref="P43:Q43"/>
    <mergeCell ref="P44:Q44"/>
    <mergeCell ref="P45:Q45"/>
    <mergeCell ref="P46:Q46"/>
    <mergeCell ref="P47:Q47"/>
    <mergeCell ref="P48:Q48"/>
    <mergeCell ref="P49:Q49"/>
    <mergeCell ref="P50:Q50"/>
    <mergeCell ref="P51:Q51"/>
    <mergeCell ref="P34:Q34"/>
    <mergeCell ref="P35:Q35"/>
    <mergeCell ref="P36:Q36"/>
    <mergeCell ref="P37:Q37"/>
    <mergeCell ref="P38:Q38"/>
    <mergeCell ref="P39:Q39"/>
    <mergeCell ref="P40:Q40"/>
    <mergeCell ref="P41:Q41"/>
    <mergeCell ref="P42:Q42"/>
    <mergeCell ref="P25:Q25"/>
    <mergeCell ref="P26:Q26"/>
    <mergeCell ref="P27:Q27"/>
    <mergeCell ref="P28:Q28"/>
    <mergeCell ref="P29:Q29"/>
    <mergeCell ref="P30:Q30"/>
    <mergeCell ref="P31:Q31"/>
    <mergeCell ref="P32:Q32"/>
    <mergeCell ref="P33:Q33"/>
    <mergeCell ref="P16:Q16"/>
    <mergeCell ref="P17:Q17"/>
    <mergeCell ref="P18:Q18"/>
    <mergeCell ref="P19:Q19"/>
    <mergeCell ref="P20:Q20"/>
    <mergeCell ref="P21:Q21"/>
    <mergeCell ref="P22:Q22"/>
    <mergeCell ref="P23:Q23"/>
    <mergeCell ref="P24:Q24"/>
    <mergeCell ref="P7:Q7"/>
    <mergeCell ref="P8:Q8"/>
    <mergeCell ref="P9:Q9"/>
    <mergeCell ref="P10:Q10"/>
    <mergeCell ref="P11:Q11"/>
    <mergeCell ref="P12:Q12"/>
    <mergeCell ref="P13:Q13"/>
    <mergeCell ref="P14:Q14"/>
    <mergeCell ref="P15:Q15"/>
    <mergeCell ref="A4:B4"/>
    <mergeCell ref="C4:F4"/>
    <mergeCell ref="J4:O4"/>
    <mergeCell ref="A5:B5"/>
    <mergeCell ref="C5:F5"/>
    <mergeCell ref="J5:O5"/>
    <mergeCell ref="Q5:U5"/>
    <mergeCell ref="H6:K6"/>
    <mergeCell ref="P6:U6"/>
    <mergeCell ref="L6:L7"/>
    <mergeCell ref="M6:M7"/>
    <mergeCell ref="A1:V1"/>
    <mergeCell ref="A2:B2"/>
    <mergeCell ref="C2:F2"/>
    <mergeCell ref="J2:O2"/>
    <mergeCell ref="Q2:V2"/>
    <mergeCell ref="A3:B3"/>
    <mergeCell ref="C3:F3"/>
    <mergeCell ref="J3:O3"/>
    <mergeCell ref="Q3:U3"/>
  </mergeCells>
  <phoneticPr fontId="35" type="noConversion"/>
  <printOptions horizontalCentered="1"/>
  <pageMargins left="0.12" right="0.08" top="0.28000000000000003" bottom="0.51" header="0.12" footer="0.35"/>
  <pageSetup paperSize="9" fitToWidth="0" fitToHeight="0" orientation="landscape" useFirstPageNumber="1" verticalDpi="300" r:id="rId1"/>
  <headerFooter scaleWithDoc="0" alignWithMargins="0">
    <oddFooter>&amp;C第 &amp;P 页，共 &amp;N 页</oddFooter>
  </headerFooter>
  <rowBreaks count="10" manualBreakCount="10">
    <brk id="64" max="21" man="1"/>
    <brk id="73" max="21" man="1"/>
    <brk id="85" max="21" man="1"/>
    <brk id="142" max="21" man="1"/>
    <brk id="160" max="21" man="1"/>
    <brk id="175" max="21" man="1"/>
    <brk id="190" max="21" man="1"/>
    <brk id="208" max="21" man="1"/>
    <brk id="226" max="21" man="1"/>
    <brk id="241"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81"/>
  <sheetViews>
    <sheetView tabSelected="1" view="pageBreakPreview" zoomScale="85" zoomScaleNormal="115" zoomScaleSheetLayoutView="85" workbookViewId="0">
      <pane ySplit="7" topLeftCell="A8" activePane="bottomLeft" state="frozen"/>
      <selection pane="bottomLeft" activeCell="H3" sqref="H3"/>
    </sheetView>
  </sheetViews>
  <sheetFormatPr defaultColWidth="9" defaultRowHeight="15.3" x14ac:dyDescent="0.45"/>
  <cols>
    <col min="1" max="1" width="7.84765625" style="2" customWidth="1"/>
    <col min="2" max="2" width="1.5" style="87" customWidth="1"/>
    <col min="3" max="3" width="11.84765625" style="87" customWidth="1"/>
    <col min="4" max="4" width="9.84765625" style="87" customWidth="1"/>
    <col min="5" max="5" width="2.5" style="2" customWidth="1"/>
    <col min="6" max="6" width="10.5" style="2" customWidth="1"/>
    <col min="7" max="7" width="3.09765625" style="87" customWidth="1"/>
    <col min="8" max="8" width="12.09765625" style="87" customWidth="1"/>
    <col min="9" max="9" width="3.34765625" style="87" customWidth="1"/>
    <col min="10" max="10" width="13.59765625" style="75" customWidth="1"/>
    <col min="11" max="11" width="3.84765625" style="2" customWidth="1"/>
    <col min="12" max="12" width="4.84765625" style="2" customWidth="1"/>
    <col min="13" max="13" width="10.59765625" style="87" customWidth="1"/>
    <col min="14" max="14" width="8.1484375" style="2" customWidth="1"/>
    <col min="15" max="15" width="6.5" style="87" customWidth="1"/>
    <col min="16" max="16" width="1.59765625" style="87" customWidth="1"/>
    <col min="17" max="17" width="6" style="87" customWidth="1"/>
    <col min="18" max="18" width="2.84765625" style="87"/>
    <col min="19" max="19" width="2.25" style="87"/>
    <col min="20" max="20" width="3.34765625" style="87" customWidth="1"/>
    <col min="21" max="21" width="5" style="87" customWidth="1"/>
    <col min="22" max="22" width="6.09765625" style="87" customWidth="1"/>
    <col min="23" max="224" width="9" style="87" customWidth="1"/>
  </cols>
  <sheetData>
    <row r="1" spans="1:256" ht="38.1" customHeight="1" x14ac:dyDescent="0.45">
      <c r="A1" s="146" t="s">
        <v>312</v>
      </c>
      <c r="B1" s="146"/>
      <c r="C1" s="146"/>
      <c r="D1" s="146"/>
      <c r="E1" s="146"/>
      <c r="F1" s="146"/>
      <c r="G1" s="146"/>
      <c r="H1" s="146"/>
      <c r="I1" s="146"/>
      <c r="J1" s="146"/>
      <c r="K1" s="146"/>
      <c r="L1" s="146"/>
      <c r="M1" s="146"/>
      <c r="N1" s="146"/>
      <c r="O1" s="146"/>
      <c r="P1" s="146"/>
      <c r="Q1" s="146"/>
      <c r="R1" s="146"/>
      <c r="S1" s="146"/>
      <c r="T1" s="146"/>
      <c r="U1" s="146"/>
      <c r="V1" s="146"/>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row>
    <row r="2" spans="1:256" ht="15.6" customHeight="1" x14ac:dyDescent="0.45">
      <c r="A2" s="147" t="s">
        <v>1</v>
      </c>
      <c r="B2" s="148"/>
      <c r="C2" s="149" t="s">
        <v>313</v>
      </c>
      <c r="D2" s="149"/>
      <c r="E2" s="150"/>
      <c r="F2" s="150"/>
      <c r="G2" s="90"/>
      <c r="H2" s="90"/>
      <c r="I2" s="90"/>
      <c r="J2" s="151" t="s">
        <v>314</v>
      </c>
      <c r="K2" s="150"/>
      <c r="L2" s="150"/>
      <c r="M2" s="149"/>
      <c r="N2" s="150"/>
      <c r="O2" s="149"/>
      <c r="P2" s="90"/>
      <c r="Q2" s="147" t="s">
        <v>315</v>
      </c>
      <c r="R2" s="147"/>
      <c r="S2" s="147"/>
      <c r="T2" s="147"/>
      <c r="U2" s="147"/>
      <c r="V2" s="147"/>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row>
    <row r="3" spans="1:256" ht="15.6" customHeight="1" x14ac:dyDescent="0.45">
      <c r="A3" s="147" t="s">
        <v>1</v>
      </c>
      <c r="B3" s="148"/>
      <c r="C3" s="149" t="s">
        <v>316</v>
      </c>
      <c r="D3" s="149"/>
      <c r="E3" s="150"/>
      <c r="F3" s="150"/>
      <c r="G3" s="90"/>
      <c r="H3" s="90"/>
      <c r="I3" s="90"/>
      <c r="J3" s="151" t="s">
        <v>317</v>
      </c>
      <c r="K3" s="150"/>
      <c r="L3" s="150"/>
      <c r="M3" s="149"/>
      <c r="N3" s="150"/>
      <c r="O3" s="149"/>
      <c r="P3" s="90"/>
      <c r="Q3" s="151"/>
      <c r="R3" s="151"/>
      <c r="S3" s="151"/>
      <c r="T3" s="151"/>
      <c r="U3" s="151"/>
      <c r="V3" s="89"/>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row>
    <row r="4" spans="1:256" ht="36" customHeight="1" x14ac:dyDescent="0.45">
      <c r="A4" s="147" t="s">
        <v>1</v>
      </c>
      <c r="B4" s="148"/>
      <c r="C4" s="149" t="s">
        <v>318</v>
      </c>
      <c r="D4" s="149"/>
      <c r="E4" s="150"/>
      <c r="F4" s="150"/>
      <c r="G4" s="90"/>
      <c r="H4" s="90"/>
      <c r="I4" s="90"/>
      <c r="J4" s="151" t="s">
        <v>319</v>
      </c>
      <c r="K4" s="150"/>
      <c r="L4" s="150"/>
      <c r="M4" s="149"/>
      <c r="N4" s="150"/>
      <c r="O4" s="149"/>
      <c r="P4" s="90"/>
      <c r="Q4"/>
      <c r="R4"/>
      <c r="S4"/>
      <c r="T4"/>
      <c r="U4"/>
      <c r="V4" s="89"/>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row>
    <row r="5" spans="1:256" ht="11.1" customHeight="1" x14ac:dyDescent="0.45">
      <c r="A5" s="147" t="s">
        <v>1</v>
      </c>
      <c r="B5" s="148"/>
      <c r="C5" s="149"/>
      <c r="D5" s="149"/>
      <c r="E5" s="150"/>
      <c r="F5" s="150"/>
      <c r="G5" s="90"/>
      <c r="H5" s="90"/>
      <c r="I5" s="90"/>
      <c r="J5" s="151"/>
      <c r="K5" s="150"/>
      <c r="L5" s="150"/>
      <c r="M5" s="149"/>
      <c r="N5" s="150"/>
      <c r="O5" s="149"/>
      <c r="P5" s="90"/>
      <c r="Q5" s="149"/>
      <c r="R5" s="149"/>
      <c r="S5" s="149"/>
      <c r="T5" s="149"/>
      <c r="U5" s="149"/>
      <c r="V5" s="89"/>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row>
    <row r="6" spans="1:256" s="87" customFormat="1" ht="17.100000000000001" customHeight="1" x14ac:dyDescent="0.45">
      <c r="A6" s="163" t="s">
        <v>9</v>
      </c>
      <c r="B6" s="154" t="s">
        <v>10</v>
      </c>
      <c r="C6" s="154"/>
      <c r="D6" s="154" t="s">
        <v>11</v>
      </c>
      <c r="E6" s="152" t="s">
        <v>12</v>
      </c>
      <c r="F6" s="153"/>
      <c r="G6" s="172" t="s">
        <v>13</v>
      </c>
      <c r="H6" s="154" t="s">
        <v>14</v>
      </c>
      <c r="I6" s="154"/>
      <c r="J6" s="154"/>
      <c r="K6" s="154"/>
      <c r="L6" s="154" t="s">
        <v>15</v>
      </c>
      <c r="M6" s="154" t="s">
        <v>16</v>
      </c>
      <c r="N6" s="154" t="s">
        <v>17</v>
      </c>
      <c r="O6" s="154" t="s">
        <v>320</v>
      </c>
      <c r="P6" s="154" t="s">
        <v>19</v>
      </c>
      <c r="Q6" s="154"/>
      <c r="R6" s="154"/>
      <c r="S6" s="154"/>
      <c r="T6" s="154"/>
      <c r="U6" s="154"/>
      <c r="V6" s="154" t="s">
        <v>20</v>
      </c>
      <c r="IS6"/>
      <c r="IT6"/>
      <c r="IU6"/>
      <c r="IV6"/>
    </row>
    <row r="7" spans="1:256" s="87" customFormat="1" ht="44.05" customHeight="1" x14ac:dyDescent="0.45">
      <c r="A7" s="164"/>
      <c r="B7" s="154"/>
      <c r="C7" s="154"/>
      <c r="D7" s="154"/>
      <c r="E7" s="93" t="s">
        <v>321</v>
      </c>
      <c r="F7" s="93" t="s">
        <v>322</v>
      </c>
      <c r="G7" s="172"/>
      <c r="H7" s="93" t="s">
        <v>21</v>
      </c>
      <c r="I7" s="91" t="s">
        <v>26</v>
      </c>
      <c r="J7" s="4" t="s">
        <v>323</v>
      </c>
      <c r="K7" s="94" t="s">
        <v>24</v>
      </c>
      <c r="L7" s="154"/>
      <c r="M7" s="154"/>
      <c r="N7" s="154"/>
      <c r="O7" s="154"/>
      <c r="P7" s="154" t="s">
        <v>25</v>
      </c>
      <c r="Q7" s="154"/>
      <c r="R7" s="95" t="s">
        <v>13</v>
      </c>
      <c r="S7" s="95" t="s">
        <v>324</v>
      </c>
      <c r="T7" s="95" t="s">
        <v>24</v>
      </c>
      <c r="U7" s="93" t="s">
        <v>15</v>
      </c>
      <c r="V7" s="154"/>
      <c r="IS7"/>
      <c r="IT7"/>
      <c r="IU7"/>
      <c r="IV7"/>
    </row>
    <row r="8" spans="1:256" ht="73" customHeight="1" x14ac:dyDescent="0.45">
      <c r="A8" s="154" t="s">
        <v>325</v>
      </c>
      <c r="B8" s="154" t="s">
        <v>326</v>
      </c>
      <c r="C8" s="154"/>
      <c r="D8" s="4" t="s">
        <v>327</v>
      </c>
      <c r="E8" s="4" t="s">
        <v>38</v>
      </c>
      <c r="F8" s="4" t="s">
        <v>328</v>
      </c>
      <c r="G8" s="96">
        <v>7</v>
      </c>
      <c r="H8" s="4" t="s">
        <v>329</v>
      </c>
      <c r="I8" s="97">
        <v>2</v>
      </c>
      <c r="J8" s="4" t="s">
        <v>330</v>
      </c>
      <c r="K8" s="97">
        <v>4</v>
      </c>
      <c r="L8" s="7">
        <f t="shared" ref="L8:L25" si="0">G8*I8*K8</f>
        <v>56</v>
      </c>
      <c r="M8" s="154" t="s">
        <v>331</v>
      </c>
      <c r="N8" s="4"/>
      <c r="O8" s="4"/>
      <c r="P8" s="154"/>
      <c r="Q8" s="154"/>
      <c r="R8" s="95"/>
      <c r="S8" s="95"/>
      <c r="T8" s="95"/>
      <c r="U8" s="93"/>
      <c r="V8" s="9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row>
    <row r="9" spans="1:256" ht="73" customHeight="1" x14ac:dyDescent="0.45">
      <c r="A9" s="154"/>
      <c r="B9" s="154" t="s">
        <v>332</v>
      </c>
      <c r="C9" s="154"/>
      <c r="D9" s="4" t="s">
        <v>333</v>
      </c>
      <c r="E9" s="4" t="s">
        <v>38</v>
      </c>
      <c r="F9" s="4" t="s">
        <v>334</v>
      </c>
      <c r="G9" s="96">
        <v>5</v>
      </c>
      <c r="H9" s="4" t="s">
        <v>329</v>
      </c>
      <c r="I9" s="97">
        <v>1</v>
      </c>
      <c r="J9" s="4" t="s">
        <v>99</v>
      </c>
      <c r="K9" s="97">
        <v>2</v>
      </c>
      <c r="L9" s="7">
        <f t="shared" si="0"/>
        <v>10</v>
      </c>
      <c r="M9" s="154"/>
      <c r="N9" s="4"/>
      <c r="O9" s="4"/>
      <c r="P9" s="154"/>
      <c r="Q9" s="154"/>
      <c r="R9" s="95"/>
      <c r="S9" s="95"/>
      <c r="T9" s="95"/>
      <c r="U9" s="93"/>
      <c r="V9" s="98"/>
    </row>
    <row r="10" spans="1:256" ht="49" customHeight="1" x14ac:dyDescent="0.45">
      <c r="A10" s="154"/>
      <c r="B10" s="154" t="s">
        <v>335</v>
      </c>
      <c r="C10" s="154"/>
      <c r="D10" s="4" t="s">
        <v>336</v>
      </c>
      <c r="E10" s="4" t="s">
        <v>38</v>
      </c>
      <c r="F10" s="4" t="s">
        <v>337</v>
      </c>
      <c r="G10" s="96">
        <v>2</v>
      </c>
      <c r="H10" s="4" t="s">
        <v>338</v>
      </c>
      <c r="I10" s="97">
        <v>2</v>
      </c>
      <c r="J10" s="4" t="s">
        <v>339</v>
      </c>
      <c r="K10" s="97">
        <v>1</v>
      </c>
      <c r="L10" s="7">
        <f t="shared" si="0"/>
        <v>4</v>
      </c>
      <c r="M10" s="154"/>
      <c r="N10" s="4"/>
      <c r="O10" s="4"/>
      <c r="P10" s="154"/>
      <c r="Q10" s="154"/>
      <c r="R10" s="95"/>
      <c r="S10" s="95"/>
      <c r="T10" s="95"/>
      <c r="U10" s="93"/>
      <c r="V10" s="98"/>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row>
    <row r="11" spans="1:256" ht="82" customHeight="1" x14ac:dyDescent="0.45">
      <c r="A11" s="154"/>
      <c r="B11" s="154" t="s">
        <v>340</v>
      </c>
      <c r="C11" s="154"/>
      <c r="D11" s="4" t="s">
        <v>341</v>
      </c>
      <c r="E11" s="4" t="s">
        <v>38</v>
      </c>
      <c r="F11" s="4" t="s">
        <v>95</v>
      </c>
      <c r="G11" s="96">
        <v>5</v>
      </c>
      <c r="H11" s="4" t="s">
        <v>342</v>
      </c>
      <c r="I11" s="97">
        <v>2</v>
      </c>
      <c r="J11" s="70" t="s">
        <v>343</v>
      </c>
      <c r="K11" s="97">
        <v>2</v>
      </c>
      <c r="L11" s="7">
        <f t="shared" si="0"/>
        <v>20</v>
      </c>
      <c r="M11" s="154"/>
      <c r="N11" s="4"/>
      <c r="O11" s="4"/>
      <c r="P11" s="154"/>
      <c r="Q11" s="154"/>
      <c r="R11" s="95"/>
      <c r="S11" s="95"/>
      <c r="T11" s="95"/>
      <c r="U11" s="93"/>
      <c r="V11" s="98"/>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row>
    <row r="12" spans="1:256" s="88" customFormat="1" ht="61" customHeight="1" x14ac:dyDescent="0.45">
      <c r="A12" s="155" t="s">
        <v>344</v>
      </c>
      <c r="B12" s="155" t="s">
        <v>345</v>
      </c>
      <c r="C12" s="155"/>
      <c r="D12" s="7" t="s">
        <v>346</v>
      </c>
      <c r="E12" s="7" t="s">
        <v>38</v>
      </c>
      <c r="F12" s="7" t="s">
        <v>347</v>
      </c>
      <c r="G12" s="7">
        <v>4</v>
      </c>
      <c r="H12" s="7" t="s">
        <v>348</v>
      </c>
      <c r="I12" s="7">
        <v>2</v>
      </c>
      <c r="J12" s="160"/>
      <c r="K12" s="7">
        <v>7</v>
      </c>
      <c r="L12" s="7">
        <f t="shared" si="0"/>
        <v>56</v>
      </c>
      <c r="M12" s="154" t="s">
        <v>331</v>
      </c>
      <c r="N12" s="182" t="s">
        <v>349</v>
      </c>
      <c r="O12" s="182" t="s">
        <v>350</v>
      </c>
      <c r="P12" s="155" t="s">
        <v>351</v>
      </c>
      <c r="Q12" s="155"/>
      <c r="R12" s="7">
        <v>4</v>
      </c>
      <c r="S12" s="7">
        <v>1</v>
      </c>
      <c r="T12" s="7">
        <v>7</v>
      </c>
      <c r="U12" s="4">
        <f>R12*S12*T12</f>
        <v>28</v>
      </c>
      <c r="V12" s="7"/>
    </row>
    <row r="13" spans="1:256" s="88" customFormat="1" ht="61" customHeight="1" x14ac:dyDescent="0.45">
      <c r="A13" s="155"/>
      <c r="B13" s="155"/>
      <c r="C13" s="155"/>
      <c r="D13" s="7" t="s">
        <v>352</v>
      </c>
      <c r="E13" s="7" t="s">
        <v>38</v>
      </c>
      <c r="F13" s="7" t="s">
        <v>347</v>
      </c>
      <c r="G13" s="7">
        <v>1</v>
      </c>
      <c r="H13" s="7" t="s">
        <v>353</v>
      </c>
      <c r="I13" s="7">
        <v>4</v>
      </c>
      <c r="J13" s="160"/>
      <c r="K13" s="7">
        <v>7</v>
      </c>
      <c r="L13" s="7">
        <f t="shared" si="0"/>
        <v>28</v>
      </c>
      <c r="M13" s="154"/>
      <c r="N13" s="182"/>
      <c r="O13" s="182"/>
      <c r="P13" s="155"/>
      <c r="Q13" s="155"/>
      <c r="R13" s="7">
        <v>1</v>
      </c>
      <c r="S13" s="7">
        <v>2</v>
      </c>
      <c r="T13" s="7">
        <v>7</v>
      </c>
      <c r="U13" s="4">
        <f>R13*S13*T13</f>
        <v>14</v>
      </c>
      <c r="V13" s="7"/>
    </row>
    <row r="14" spans="1:256" s="87" customFormat="1" ht="73" customHeight="1" x14ac:dyDescent="0.45">
      <c r="A14" s="154" t="s">
        <v>354</v>
      </c>
      <c r="B14" s="154" t="s">
        <v>355</v>
      </c>
      <c r="C14" s="154"/>
      <c r="D14" s="4" t="s">
        <v>356</v>
      </c>
      <c r="E14" s="4" t="s">
        <v>38</v>
      </c>
      <c r="F14" s="4" t="s">
        <v>334</v>
      </c>
      <c r="G14" s="96">
        <v>5</v>
      </c>
      <c r="H14" s="4" t="s">
        <v>329</v>
      </c>
      <c r="I14" s="97">
        <v>1</v>
      </c>
      <c r="J14" s="4" t="s">
        <v>99</v>
      </c>
      <c r="K14" s="97">
        <v>2</v>
      </c>
      <c r="L14" s="7">
        <f t="shared" si="0"/>
        <v>10</v>
      </c>
      <c r="M14" s="4"/>
      <c r="N14" s="4"/>
      <c r="O14" s="46"/>
      <c r="P14" s="154"/>
      <c r="Q14" s="154"/>
      <c r="R14" s="95"/>
      <c r="S14" s="95"/>
      <c r="T14" s="95"/>
      <c r="U14" s="93"/>
      <c r="V14" s="4"/>
      <c r="HU14"/>
      <c r="HV14"/>
      <c r="HW14"/>
      <c r="HX14"/>
    </row>
    <row r="15" spans="1:256" s="88" customFormat="1" ht="59.05" customHeight="1" x14ac:dyDescent="0.45">
      <c r="A15" s="154"/>
      <c r="B15" s="154" t="s">
        <v>340</v>
      </c>
      <c r="C15" s="154"/>
      <c r="D15" s="4" t="s">
        <v>341</v>
      </c>
      <c r="E15" s="4" t="s">
        <v>38</v>
      </c>
      <c r="F15" s="4" t="s">
        <v>95</v>
      </c>
      <c r="G15" s="7">
        <v>5</v>
      </c>
      <c r="H15" s="4" t="s">
        <v>338</v>
      </c>
      <c r="I15" s="7">
        <v>2</v>
      </c>
      <c r="J15" s="4" t="s">
        <v>357</v>
      </c>
      <c r="K15" s="7">
        <v>2</v>
      </c>
      <c r="L15" s="7">
        <f t="shared" si="0"/>
        <v>20</v>
      </c>
      <c r="M15" s="4"/>
      <c r="N15" s="30"/>
      <c r="O15" s="46"/>
      <c r="P15" s="155"/>
      <c r="Q15" s="155"/>
      <c r="R15" s="7"/>
      <c r="S15" s="7"/>
      <c r="T15" s="7"/>
      <c r="U15" s="7"/>
      <c r="V15" s="7"/>
    </row>
    <row r="16" spans="1:256" s="88" customFormat="1" ht="46" customHeight="1" x14ac:dyDescent="0.45">
      <c r="A16" s="155" t="s">
        <v>27</v>
      </c>
      <c r="B16" s="155" t="s">
        <v>28</v>
      </c>
      <c r="C16" s="155"/>
      <c r="D16" s="98" t="s">
        <v>358</v>
      </c>
      <c r="E16" s="7" t="s">
        <v>38</v>
      </c>
      <c r="F16" s="7" t="s">
        <v>359</v>
      </c>
      <c r="G16" s="7">
        <v>6</v>
      </c>
      <c r="H16" s="60" t="s">
        <v>360</v>
      </c>
      <c r="I16" s="7">
        <v>2</v>
      </c>
      <c r="J16" s="160" t="s">
        <v>361</v>
      </c>
      <c r="K16" s="7">
        <v>4</v>
      </c>
      <c r="L16" s="7">
        <f t="shared" si="0"/>
        <v>48</v>
      </c>
      <c r="M16" s="155" t="s">
        <v>331</v>
      </c>
      <c r="N16" s="7"/>
      <c r="O16" s="46"/>
      <c r="P16" s="155"/>
      <c r="Q16" s="155"/>
      <c r="R16" s="7"/>
      <c r="S16" s="7"/>
      <c r="T16" s="7"/>
      <c r="U16" s="7"/>
      <c r="V16" s="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87"/>
      <c r="EM16" s="87"/>
      <c r="EN16" s="87"/>
      <c r="EO16" s="87"/>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7"/>
      <c r="FN16" s="87"/>
      <c r="FO16" s="87"/>
      <c r="FP16" s="87"/>
      <c r="FQ16" s="87"/>
      <c r="FR16" s="87"/>
      <c r="FS16" s="87"/>
      <c r="FT16" s="87"/>
      <c r="FU16" s="87"/>
      <c r="FV16" s="87"/>
      <c r="FW16" s="87"/>
      <c r="FX16" s="87"/>
      <c r="FY16" s="87"/>
      <c r="FZ16" s="87"/>
      <c r="GA16" s="87"/>
      <c r="GB16" s="87"/>
      <c r="GC16" s="87"/>
      <c r="GD16" s="87"/>
      <c r="GE16" s="87"/>
      <c r="GF16" s="87"/>
      <c r="GG16" s="87"/>
      <c r="GH16" s="87"/>
      <c r="GI16" s="87"/>
      <c r="GJ16" s="87"/>
      <c r="GK16" s="87"/>
      <c r="GL16" s="87"/>
      <c r="GM16" s="87"/>
      <c r="GN16" s="87"/>
      <c r="GO16" s="87"/>
      <c r="GP16" s="87"/>
      <c r="GQ16" s="87"/>
      <c r="GR16" s="87"/>
      <c r="GS16" s="87"/>
      <c r="GT16" s="87"/>
      <c r="GU16" s="87"/>
      <c r="GV16" s="87"/>
      <c r="GW16" s="87"/>
      <c r="GX16" s="87"/>
      <c r="GY16" s="87"/>
      <c r="GZ16" s="87"/>
      <c r="HA16" s="87"/>
      <c r="HB16" s="87"/>
      <c r="HC16" s="87"/>
      <c r="HD16" s="87"/>
      <c r="HE16" s="87"/>
      <c r="HF16" s="87"/>
      <c r="HG16" s="87"/>
      <c r="HH16" s="87"/>
      <c r="HI16" s="87"/>
      <c r="HJ16" s="87"/>
      <c r="HK16" s="87"/>
      <c r="HL16" s="87"/>
      <c r="HM16" s="87"/>
      <c r="HN16" s="87"/>
      <c r="HO16" s="87"/>
      <c r="HP16" s="87"/>
      <c r="HQ16" s="87"/>
      <c r="HR16" s="87"/>
      <c r="HS16" s="87"/>
      <c r="HT16" s="87"/>
      <c r="HU16"/>
      <c r="HV16"/>
      <c r="HW16"/>
      <c r="HX16"/>
    </row>
    <row r="17" spans="1:232" s="88" customFormat="1" ht="46" customHeight="1" x14ac:dyDescent="0.45">
      <c r="A17" s="155"/>
      <c r="B17" s="155"/>
      <c r="C17" s="155"/>
      <c r="D17" s="98" t="s">
        <v>362</v>
      </c>
      <c r="E17" s="7" t="s">
        <v>38</v>
      </c>
      <c r="F17" s="7" t="s">
        <v>47</v>
      </c>
      <c r="G17" s="7">
        <v>7</v>
      </c>
      <c r="H17" s="98" t="s">
        <v>363</v>
      </c>
      <c r="I17" s="7">
        <v>2</v>
      </c>
      <c r="J17" s="160"/>
      <c r="K17" s="7">
        <v>4</v>
      </c>
      <c r="L17" s="7">
        <f t="shared" si="0"/>
        <v>56</v>
      </c>
      <c r="M17" s="155"/>
      <c r="N17" s="7"/>
      <c r="O17" s="46"/>
      <c r="P17" s="155"/>
      <c r="Q17" s="155"/>
      <c r="R17" s="7"/>
      <c r="S17" s="7"/>
      <c r="T17" s="7"/>
      <c r="U17" s="7"/>
      <c r="V17" s="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87"/>
      <c r="EM17" s="87"/>
      <c r="EN17" s="87"/>
      <c r="EO17" s="87"/>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7"/>
      <c r="FN17" s="87"/>
      <c r="FO17" s="87"/>
      <c r="FP17" s="87"/>
      <c r="FQ17" s="87"/>
      <c r="FR17" s="87"/>
      <c r="FS17" s="87"/>
      <c r="FT17" s="87"/>
      <c r="FU17" s="87"/>
      <c r="FV17" s="87"/>
      <c r="FW17" s="87"/>
      <c r="FX17" s="87"/>
      <c r="FY17" s="87"/>
      <c r="FZ17" s="87"/>
      <c r="GA17" s="87"/>
      <c r="GB17" s="87"/>
      <c r="GC17" s="87"/>
      <c r="GD17" s="87"/>
      <c r="GE17" s="87"/>
      <c r="GF17" s="87"/>
      <c r="GG17" s="87"/>
      <c r="GH17" s="87"/>
      <c r="GI17" s="87"/>
      <c r="GJ17" s="87"/>
      <c r="GK17" s="87"/>
      <c r="GL17" s="87"/>
      <c r="GM17" s="87"/>
      <c r="GN17" s="87"/>
      <c r="GO17" s="87"/>
      <c r="GP17" s="87"/>
      <c r="GQ17" s="87"/>
      <c r="GR17" s="87"/>
      <c r="GS17" s="87"/>
      <c r="GT17" s="87"/>
      <c r="GU17" s="87"/>
      <c r="GV17" s="87"/>
      <c r="GW17" s="87"/>
      <c r="GX17" s="87"/>
      <c r="GY17" s="87"/>
      <c r="GZ17" s="87"/>
      <c r="HA17" s="87"/>
      <c r="HB17" s="87"/>
      <c r="HC17" s="87"/>
      <c r="HD17" s="87"/>
      <c r="HE17" s="87"/>
      <c r="HF17" s="87"/>
      <c r="HG17" s="87"/>
      <c r="HH17" s="87"/>
      <c r="HI17" s="87"/>
      <c r="HJ17" s="87"/>
      <c r="HK17" s="87"/>
      <c r="HL17" s="87"/>
      <c r="HM17" s="87"/>
      <c r="HN17" s="87"/>
      <c r="HO17" s="87"/>
      <c r="HP17" s="87"/>
      <c r="HQ17" s="87"/>
      <c r="HR17" s="87"/>
      <c r="HS17" s="87"/>
      <c r="HT17" s="87"/>
      <c r="HU17"/>
      <c r="HV17"/>
      <c r="HW17"/>
      <c r="HX17"/>
    </row>
    <row r="18" spans="1:232" s="88" customFormat="1" ht="46" customHeight="1" x14ac:dyDescent="0.45">
      <c r="A18" s="155"/>
      <c r="B18" s="155"/>
      <c r="C18" s="155"/>
      <c r="D18" s="98" t="s">
        <v>364</v>
      </c>
      <c r="E18" s="98" t="s">
        <v>38</v>
      </c>
      <c r="F18" s="98" t="s">
        <v>47</v>
      </c>
      <c r="G18" s="7">
        <v>7</v>
      </c>
      <c r="H18" s="98" t="s">
        <v>365</v>
      </c>
      <c r="I18" s="7">
        <v>2</v>
      </c>
      <c r="J18" s="160"/>
      <c r="K18" s="7">
        <v>1</v>
      </c>
      <c r="L18" s="7">
        <f t="shared" si="0"/>
        <v>14</v>
      </c>
      <c r="M18" s="155"/>
      <c r="N18" s="7"/>
      <c r="O18" s="46"/>
      <c r="P18" s="155"/>
      <c r="Q18" s="155"/>
      <c r="R18" s="7"/>
      <c r="S18" s="7"/>
      <c r="T18" s="7"/>
      <c r="U18" s="7"/>
      <c r="V18" s="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7"/>
      <c r="EC18" s="87"/>
      <c r="ED18" s="87"/>
      <c r="EE18" s="87"/>
      <c r="EF18" s="87"/>
      <c r="EG18" s="87"/>
      <c r="EH18" s="87"/>
      <c r="EI18" s="87"/>
      <c r="EJ18" s="87"/>
      <c r="EK18" s="87"/>
      <c r="EL18" s="87"/>
      <c r="EM18" s="87"/>
      <c r="EN18" s="87"/>
      <c r="EO18" s="87"/>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7"/>
      <c r="FN18" s="87"/>
      <c r="FO18" s="87"/>
      <c r="FP18" s="87"/>
      <c r="FQ18" s="87"/>
      <c r="FR18" s="87"/>
      <c r="FS18" s="87"/>
      <c r="FT18" s="87"/>
      <c r="FU18" s="87"/>
      <c r="FV18" s="87"/>
      <c r="FW18" s="87"/>
      <c r="FX18" s="87"/>
      <c r="FY18" s="87"/>
      <c r="FZ18" s="87"/>
      <c r="GA18" s="87"/>
      <c r="GB18" s="87"/>
      <c r="GC18" s="87"/>
      <c r="GD18" s="87"/>
      <c r="GE18" s="87"/>
      <c r="GF18" s="87"/>
      <c r="GG18" s="87"/>
      <c r="GH18" s="87"/>
      <c r="GI18" s="87"/>
      <c r="GJ18" s="87"/>
      <c r="GK18" s="87"/>
      <c r="GL18" s="87"/>
      <c r="GM18" s="87"/>
      <c r="GN18" s="87"/>
      <c r="GO18" s="87"/>
      <c r="GP18" s="87"/>
      <c r="GQ18" s="87"/>
      <c r="GR18" s="87"/>
      <c r="GS18" s="87"/>
      <c r="GT18" s="87"/>
      <c r="GU18" s="87"/>
      <c r="GV18" s="87"/>
      <c r="GW18" s="87"/>
      <c r="GX18" s="87"/>
      <c r="GY18" s="87"/>
      <c r="GZ18" s="87"/>
      <c r="HA18" s="87"/>
      <c r="HB18" s="87"/>
      <c r="HC18" s="87"/>
      <c r="HD18" s="87"/>
      <c r="HE18" s="87"/>
      <c r="HF18" s="87"/>
      <c r="HG18" s="87"/>
      <c r="HH18" s="87"/>
      <c r="HI18" s="87"/>
      <c r="HJ18" s="87"/>
      <c r="HK18" s="87"/>
      <c r="HL18" s="87"/>
      <c r="HM18" s="87"/>
      <c r="HN18" s="87"/>
      <c r="HO18" s="87"/>
      <c r="HP18" s="87"/>
      <c r="HQ18" s="87"/>
      <c r="HR18" s="87"/>
      <c r="HS18" s="87"/>
      <c r="HT18" s="87"/>
      <c r="HU18"/>
      <c r="HV18"/>
      <c r="HW18"/>
      <c r="HX18"/>
    </row>
    <row r="19" spans="1:232" s="88" customFormat="1" ht="46" customHeight="1" x14ac:dyDescent="0.45">
      <c r="A19" s="155"/>
      <c r="B19" s="155"/>
      <c r="C19" s="155"/>
      <c r="D19" s="98" t="s">
        <v>366</v>
      </c>
      <c r="E19" s="98" t="s">
        <v>38</v>
      </c>
      <c r="F19" s="98" t="s">
        <v>47</v>
      </c>
      <c r="G19" s="7">
        <v>7</v>
      </c>
      <c r="H19" s="98" t="s">
        <v>367</v>
      </c>
      <c r="I19" s="7">
        <v>2</v>
      </c>
      <c r="J19" s="160"/>
      <c r="K19" s="7">
        <v>1</v>
      </c>
      <c r="L19" s="7">
        <f t="shared" si="0"/>
        <v>14</v>
      </c>
      <c r="M19" s="155"/>
      <c r="N19" s="7"/>
      <c r="O19" s="46"/>
      <c r="P19" s="155"/>
      <c r="Q19" s="155"/>
      <c r="R19" s="7"/>
      <c r="S19" s="7"/>
      <c r="T19" s="7"/>
      <c r="U19" s="7"/>
      <c r="V19" s="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7"/>
      <c r="EC19" s="87"/>
      <c r="ED19" s="87"/>
      <c r="EE19" s="87"/>
      <c r="EF19" s="87"/>
      <c r="EG19" s="87"/>
      <c r="EH19" s="87"/>
      <c r="EI19" s="87"/>
      <c r="EJ19" s="87"/>
      <c r="EK19" s="87"/>
      <c r="EL19" s="87"/>
      <c r="EM19" s="87"/>
      <c r="EN19" s="87"/>
      <c r="EO19" s="87"/>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7"/>
      <c r="FN19" s="87"/>
      <c r="FO19" s="87"/>
      <c r="FP19" s="87"/>
      <c r="FQ19" s="87"/>
      <c r="FR19" s="87"/>
      <c r="FS19" s="87"/>
      <c r="FT19" s="87"/>
      <c r="FU19" s="87"/>
      <c r="FV19" s="87"/>
      <c r="FW19" s="87"/>
      <c r="FX19" s="87"/>
      <c r="FY19" s="87"/>
      <c r="FZ19" s="87"/>
      <c r="GA19" s="87"/>
      <c r="GB19" s="87"/>
      <c r="GC19" s="87"/>
      <c r="GD19" s="87"/>
      <c r="GE19" s="87"/>
      <c r="GF19" s="87"/>
      <c r="GG19" s="87"/>
      <c r="GH19" s="87"/>
      <c r="GI19" s="87"/>
      <c r="GJ19" s="87"/>
      <c r="GK19" s="87"/>
      <c r="GL19" s="87"/>
      <c r="GM19" s="87"/>
      <c r="GN19" s="87"/>
      <c r="GO19" s="87"/>
      <c r="GP19" s="87"/>
      <c r="GQ19" s="87"/>
      <c r="GR19" s="87"/>
      <c r="GS19" s="87"/>
      <c r="GT19" s="87"/>
      <c r="GU19" s="87"/>
      <c r="GV19" s="87"/>
      <c r="GW19" s="87"/>
      <c r="GX19" s="87"/>
      <c r="GY19" s="87"/>
      <c r="GZ19" s="87"/>
      <c r="HA19" s="87"/>
      <c r="HB19" s="87"/>
      <c r="HC19" s="87"/>
      <c r="HD19" s="87"/>
      <c r="HE19" s="87"/>
      <c r="HF19" s="87"/>
      <c r="HG19" s="87"/>
      <c r="HH19" s="87"/>
      <c r="HI19" s="87"/>
      <c r="HJ19" s="87"/>
      <c r="HK19" s="87"/>
      <c r="HL19" s="87"/>
      <c r="HM19" s="87"/>
      <c r="HN19" s="87"/>
      <c r="HO19" s="87"/>
      <c r="HP19" s="87"/>
      <c r="HQ19" s="87"/>
      <c r="HR19" s="87"/>
      <c r="HS19" s="87"/>
      <c r="HT19" s="87"/>
      <c r="HU19"/>
      <c r="HV19"/>
      <c r="HW19"/>
      <c r="HX19"/>
    </row>
    <row r="20" spans="1:232" s="88" customFormat="1" ht="46" customHeight="1" x14ac:dyDescent="0.45">
      <c r="A20" s="155" t="s">
        <v>368</v>
      </c>
      <c r="B20" s="156" t="s">
        <v>369</v>
      </c>
      <c r="C20" s="156"/>
      <c r="D20" s="98" t="s">
        <v>370</v>
      </c>
      <c r="E20" s="7" t="s">
        <v>38</v>
      </c>
      <c r="F20" s="7" t="s">
        <v>371</v>
      </c>
      <c r="G20" s="7">
        <v>7</v>
      </c>
      <c r="H20" s="7" t="s">
        <v>372</v>
      </c>
      <c r="I20" s="7">
        <v>2</v>
      </c>
      <c r="J20" s="160" t="s">
        <v>373</v>
      </c>
      <c r="K20" s="7">
        <v>4</v>
      </c>
      <c r="L20" s="7">
        <f t="shared" si="0"/>
        <v>56</v>
      </c>
      <c r="M20" s="155" t="s">
        <v>331</v>
      </c>
      <c r="N20" s="46"/>
      <c r="O20" s="46"/>
      <c r="P20" s="155"/>
      <c r="Q20" s="155"/>
      <c r="R20" s="7"/>
      <c r="S20" s="7"/>
      <c r="T20" s="7"/>
      <c r="U20" s="7"/>
      <c r="V20" s="98"/>
    </row>
    <row r="21" spans="1:232" s="88" customFormat="1" ht="53.05" customHeight="1" x14ac:dyDescent="0.45">
      <c r="A21" s="155"/>
      <c r="B21" s="156" t="s">
        <v>374</v>
      </c>
      <c r="C21" s="156"/>
      <c r="D21" s="98" t="s">
        <v>375</v>
      </c>
      <c r="E21" s="7" t="s">
        <v>38</v>
      </c>
      <c r="F21" s="7" t="s">
        <v>376</v>
      </c>
      <c r="G21" s="7">
        <v>4</v>
      </c>
      <c r="H21" s="7" t="s">
        <v>377</v>
      </c>
      <c r="I21" s="7">
        <v>2</v>
      </c>
      <c r="J21" s="160"/>
      <c r="K21" s="7">
        <v>4</v>
      </c>
      <c r="L21" s="7">
        <f t="shared" si="0"/>
        <v>32</v>
      </c>
      <c r="M21" s="155"/>
      <c r="N21" s="46"/>
      <c r="O21" s="46"/>
      <c r="P21" s="155"/>
      <c r="Q21" s="155"/>
      <c r="R21" s="7"/>
      <c r="S21" s="7"/>
      <c r="T21" s="7"/>
      <c r="U21" s="7"/>
      <c r="V21" s="98"/>
    </row>
    <row r="22" spans="1:232" s="87" customFormat="1" ht="61" customHeight="1" x14ac:dyDescent="0.45">
      <c r="A22" s="7" t="s">
        <v>378</v>
      </c>
      <c r="B22" s="156" t="s">
        <v>379</v>
      </c>
      <c r="C22" s="156"/>
      <c r="D22" s="60" t="s">
        <v>380</v>
      </c>
      <c r="E22" s="7" t="s">
        <v>38</v>
      </c>
      <c r="F22" s="7" t="s">
        <v>95</v>
      </c>
      <c r="G22" s="7">
        <v>7</v>
      </c>
      <c r="H22" s="7" t="s">
        <v>329</v>
      </c>
      <c r="I22" s="7">
        <v>1</v>
      </c>
      <c r="J22" s="60" t="s">
        <v>381</v>
      </c>
      <c r="K22" s="7">
        <v>4</v>
      </c>
      <c r="L22" s="7">
        <f t="shared" si="0"/>
        <v>28</v>
      </c>
      <c r="M22" s="7" t="s">
        <v>331</v>
      </c>
      <c r="N22" s="7"/>
      <c r="O22" s="46"/>
      <c r="P22" s="155"/>
      <c r="Q22" s="155"/>
      <c r="R22" s="7"/>
      <c r="S22" s="7"/>
      <c r="T22" s="7"/>
      <c r="U22" s="7"/>
      <c r="V22" s="7"/>
      <c r="HU22"/>
      <c r="HV22"/>
      <c r="HW22"/>
      <c r="HX22"/>
    </row>
    <row r="23" spans="1:232" s="88" customFormat="1" ht="47.05" customHeight="1" x14ac:dyDescent="0.45">
      <c r="A23" s="155" t="s">
        <v>382</v>
      </c>
      <c r="B23" s="156" t="s">
        <v>383</v>
      </c>
      <c r="C23" s="156"/>
      <c r="D23" s="60" t="s">
        <v>384</v>
      </c>
      <c r="E23" s="7" t="s">
        <v>38</v>
      </c>
      <c r="F23" s="7" t="s">
        <v>385</v>
      </c>
      <c r="G23" s="7">
        <v>5</v>
      </c>
      <c r="H23" s="7" t="s">
        <v>329</v>
      </c>
      <c r="I23" s="7">
        <v>3</v>
      </c>
      <c r="J23" s="160" t="s">
        <v>386</v>
      </c>
      <c r="K23" s="7">
        <v>4</v>
      </c>
      <c r="L23" s="7">
        <f t="shared" si="0"/>
        <v>60</v>
      </c>
      <c r="M23" s="155" t="s">
        <v>331</v>
      </c>
      <c r="N23" s="7"/>
      <c r="O23" s="98"/>
      <c r="P23" s="155"/>
      <c r="Q23" s="155"/>
      <c r="R23" s="93"/>
      <c r="S23" s="93"/>
      <c r="T23" s="93"/>
      <c r="U23" s="93"/>
      <c r="V23" s="93"/>
    </row>
    <row r="24" spans="1:232" s="88" customFormat="1" ht="47.05" customHeight="1" x14ac:dyDescent="0.45">
      <c r="A24" s="155"/>
      <c r="B24" s="156"/>
      <c r="C24" s="156"/>
      <c r="D24" s="60" t="s">
        <v>387</v>
      </c>
      <c r="E24" s="7" t="s">
        <v>38</v>
      </c>
      <c r="F24" s="7" t="s">
        <v>388</v>
      </c>
      <c r="G24" s="7">
        <v>5</v>
      </c>
      <c r="H24" s="7" t="s">
        <v>329</v>
      </c>
      <c r="I24" s="7">
        <v>3</v>
      </c>
      <c r="J24" s="160"/>
      <c r="K24" s="7">
        <v>4</v>
      </c>
      <c r="L24" s="7">
        <f t="shared" si="0"/>
        <v>60</v>
      </c>
      <c r="M24" s="155"/>
      <c r="N24" s="7"/>
      <c r="O24" s="98"/>
      <c r="P24" s="155"/>
      <c r="Q24" s="155"/>
      <c r="R24" s="93"/>
      <c r="S24" s="93"/>
      <c r="T24" s="93"/>
      <c r="U24" s="93"/>
      <c r="V24" s="93"/>
    </row>
    <row r="25" spans="1:232" s="88" customFormat="1" ht="47.05" customHeight="1" x14ac:dyDescent="0.45">
      <c r="A25" s="155"/>
      <c r="B25" s="156"/>
      <c r="C25" s="156"/>
      <c r="D25" s="60" t="s">
        <v>389</v>
      </c>
      <c r="E25" s="7" t="s">
        <v>38</v>
      </c>
      <c r="F25" s="7" t="s">
        <v>388</v>
      </c>
      <c r="G25" s="7">
        <v>7</v>
      </c>
      <c r="H25" s="7" t="s">
        <v>329</v>
      </c>
      <c r="I25" s="7">
        <v>3</v>
      </c>
      <c r="J25" s="160"/>
      <c r="K25" s="7">
        <v>4</v>
      </c>
      <c r="L25" s="7">
        <f t="shared" si="0"/>
        <v>84</v>
      </c>
      <c r="M25" s="155"/>
      <c r="N25" s="7"/>
      <c r="O25" s="98"/>
      <c r="P25" s="155"/>
      <c r="Q25" s="155"/>
      <c r="R25" s="93"/>
      <c r="S25" s="93"/>
      <c r="T25" s="93"/>
      <c r="U25" s="93"/>
      <c r="V25" s="93"/>
    </row>
    <row r="26" spans="1:232" s="88" customFormat="1" ht="70" customHeight="1" x14ac:dyDescent="0.45">
      <c r="A26" s="155" t="s">
        <v>390</v>
      </c>
      <c r="B26" s="155" t="s">
        <v>391</v>
      </c>
      <c r="C26" s="155"/>
      <c r="D26" s="7" t="s">
        <v>392</v>
      </c>
      <c r="E26" s="7" t="s">
        <v>38</v>
      </c>
      <c r="F26" s="7" t="s">
        <v>393</v>
      </c>
      <c r="G26" s="7">
        <v>7</v>
      </c>
      <c r="H26" s="7" t="s">
        <v>394</v>
      </c>
      <c r="I26" s="7">
        <v>3</v>
      </c>
      <c r="J26" s="98" t="s">
        <v>395</v>
      </c>
      <c r="K26" s="7">
        <v>8</v>
      </c>
      <c r="L26" s="7">
        <f t="shared" ref="L26:L28" si="1">G26*I26*K26</f>
        <v>168</v>
      </c>
      <c r="M26" s="155" t="s">
        <v>331</v>
      </c>
      <c r="N26" s="46"/>
      <c r="O26" s="46"/>
      <c r="P26" s="155"/>
      <c r="Q26" s="155"/>
      <c r="R26" s="7"/>
      <c r="S26" s="7"/>
      <c r="T26" s="7"/>
      <c r="U26" s="7"/>
      <c r="V26" s="7"/>
    </row>
    <row r="27" spans="1:232" s="88" customFormat="1" ht="70" customHeight="1" x14ac:dyDescent="0.45">
      <c r="A27" s="155"/>
      <c r="B27" s="155" t="s">
        <v>396</v>
      </c>
      <c r="C27" s="155"/>
      <c r="D27" s="7" t="s">
        <v>397</v>
      </c>
      <c r="E27" s="7" t="s">
        <v>38</v>
      </c>
      <c r="F27" s="7" t="s">
        <v>398</v>
      </c>
      <c r="G27" s="7">
        <v>7</v>
      </c>
      <c r="H27" s="7" t="s">
        <v>394</v>
      </c>
      <c r="I27" s="7">
        <v>3</v>
      </c>
      <c r="J27" s="98" t="s">
        <v>395</v>
      </c>
      <c r="K27" s="7">
        <v>8</v>
      </c>
      <c r="L27" s="7">
        <f t="shared" si="1"/>
        <v>168</v>
      </c>
      <c r="M27" s="155"/>
      <c r="N27" s="46"/>
      <c r="O27" s="46"/>
      <c r="P27" s="155"/>
      <c r="Q27" s="155"/>
      <c r="R27" s="7"/>
      <c r="S27" s="7"/>
      <c r="T27" s="7"/>
      <c r="U27" s="7"/>
      <c r="V27" s="7"/>
    </row>
    <row r="28" spans="1:232" s="88" customFormat="1" ht="81" customHeight="1" x14ac:dyDescent="0.45">
      <c r="A28" s="155" t="s">
        <v>399</v>
      </c>
      <c r="B28" s="155" t="s">
        <v>400</v>
      </c>
      <c r="C28" s="155"/>
      <c r="D28" s="7" t="s">
        <v>401</v>
      </c>
      <c r="E28" s="7" t="s">
        <v>38</v>
      </c>
      <c r="F28" s="7" t="s">
        <v>398</v>
      </c>
      <c r="G28" s="7">
        <v>7</v>
      </c>
      <c r="H28" s="7" t="s">
        <v>402</v>
      </c>
      <c r="I28" s="7">
        <v>3</v>
      </c>
      <c r="J28" s="98" t="s">
        <v>403</v>
      </c>
      <c r="K28" s="7">
        <v>4</v>
      </c>
      <c r="L28" s="7">
        <f t="shared" si="1"/>
        <v>84</v>
      </c>
      <c r="M28" s="155" t="s">
        <v>331</v>
      </c>
      <c r="N28" s="46"/>
      <c r="O28" s="46"/>
      <c r="P28" s="155"/>
      <c r="Q28" s="155"/>
      <c r="R28" s="7"/>
      <c r="S28" s="7"/>
      <c r="T28" s="7"/>
      <c r="U28" s="7"/>
      <c r="V28" s="7"/>
    </row>
    <row r="29" spans="1:232" s="88" customFormat="1" ht="78" customHeight="1" x14ac:dyDescent="0.45">
      <c r="A29" s="155"/>
      <c r="B29" s="155" t="s">
        <v>404</v>
      </c>
      <c r="C29" s="155"/>
      <c r="D29" s="7" t="s">
        <v>405</v>
      </c>
      <c r="E29" s="7" t="s">
        <v>38</v>
      </c>
      <c r="F29" s="7" t="s">
        <v>398</v>
      </c>
      <c r="G29" s="7">
        <v>7</v>
      </c>
      <c r="H29" s="7" t="s">
        <v>402</v>
      </c>
      <c r="I29" s="7">
        <v>3</v>
      </c>
      <c r="J29" s="98" t="s">
        <v>403</v>
      </c>
      <c r="K29" s="7">
        <v>4</v>
      </c>
      <c r="L29" s="7">
        <f t="shared" ref="L29:L34" si="2">G29*I29*K29</f>
        <v>84</v>
      </c>
      <c r="M29" s="155"/>
      <c r="N29" s="46"/>
      <c r="O29" s="46"/>
      <c r="P29" s="155"/>
      <c r="Q29" s="155"/>
      <c r="R29" s="7"/>
      <c r="S29" s="7"/>
      <c r="T29" s="7"/>
      <c r="U29" s="7"/>
      <c r="V29" s="7"/>
    </row>
    <row r="30" spans="1:232" s="88" customFormat="1" ht="67" customHeight="1" x14ac:dyDescent="0.45">
      <c r="A30" s="155"/>
      <c r="B30" s="155" t="s">
        <v>406</v>
      </c>
      <c r="C30" s="155"/>
      <c r="D30" s="7" t="s">
        <v>407</v>
      </c>
      <c r="E30" s="7" t="s">
        <v>38</v>
      </c>
      <c r="F30" s="7" t="s">
        <v>408</v>
      </c>
      <c r="G30" s="7">
        <v>4</v>
      </c>
      <c r="H30" s="7" t="s">
        <v>394</v>
      </c>
      <c r="I30" s="7">
        <v>3</v>
      </c>
      <c r="J30" s="98" t="s">
        <v>409</v>
      </c>
      <c r="K30" s="7">
        <v>4</v>
      </c>
      <c r="L30" s="7">
        <f t="shared" si="2"/>
        <v>48</v>
      </c>
      <c r="M30" s="155"/>
      <c r="N30" s="46"/>
      <c r="O30" s="46"/>
      <c r="P30" s="155"/>
      <c r="Q30" s="155"/>
      <c r="R30" s="7"/>
      <c r="S30" s="7"/>
      <c r="T30" s="7"/>
      <c r="U30" s="7"/>
      <c r="V30" s="7"/>
    </row>
    <row r="31" spans="1:232" s="88" customFormat="1" ht="63" customHeight="1" x14ac:dyDescent="0.45">
      <c r="A31" s="155" t="s">
        <v>410</v>
      </c>
      <c r="B31" s="155" t="s">
        <v>411</v>
      </c>
      <c r="C31" s="155"/>
      <c r="D31" s="60" t="s">
        <v>412</v>
      </c>
      <c r="E31" s="7" t="s">
        <v>38</v>
      </c>
      <c r="F31" s="7" t="s">
        <v>413</v>
      </c>
      <c r="G31" s="21">
        <v>7</v>
      </c>
      <c r="H31" s="7" t="s">
        <v>402</v>
      </c>
      <c r="I31" s="7">
        <v>3</v>
      </c>
      <c r="J31" s="160" t="s">
        <v>414</v>
      </c>
      <c r="K31" s="7">
        <v>4</v>
      </c>
      <c r="L31" s="7">
        <f t="shared" si="2"/>
        <v>84</v>
      </c>
      <c r="M31" s="155" t="s">
        <v>331</v>
      </c>
      <c r="N31" s="46"/>
      <c r="O31" s="46"/>
      <c r="P31" s="155"/>
      <c r="Q31" s="155"/>
      <c r="R31" s="7"/>
      <c r="S31" s="7"/>
      <c r="T31" s="7"/>
      <c r="U31" s="7"/>
      <c r="V31" s="7"/>
    </row>
    <row r="32" spans="1:232" s="88" customFormat="1" ht="51" customHeight="1" x14ac:dyDescent="0.45">
      <c r="A32" s="155"/>
      <c r="B32" s="155"/>
      <c r="C32" s="155"/>
      <c r="D32" s="7" t="s">
        <v>415</v>
      </c>
      <c r="E32" s="7" t="s">
        <v>38</v>
      </c>
      <c r="F32" s="7" t="s">
        <v>413</v>
      </c>
      <c r="G32" s="21">
        <v>7</v>
      </c>
      <c r="H32" s="7" t="s">
        <v>402</v>
      </c>
      <c r="I32" s="7">
        <v>3</v>
      </c>
      <c r="J32" s="160"/>
      <c r="K32" s="7">
        <v>4</v>
      </c>
      <c r="L32" s="7">
        <f t="shared" si="2"/>
        <v>84</v>
      </c>
      <c r="M32" s="155"/>
      <c r="N32" s="46"/>
      <c r="O32" s="46"/>
      <c r="P32" s="155"/>
      <c r="Q32" s="155"/>
      <c r="R32" s="7"/>
      <c r="S32" s="7"/>
      <c r="T32" s="7"/>
      <c r="U32" s="7"/>
      <c r="V32" s="7"/>
    </row>
    <row r="33" spans="1:232" s="88" customFormat="1" ht="55" customHeight="1" x14ac:dyDescent="0.45">
      <c r="A33" s="155"/>
      <c r="B33" s="155" t="s">
        <v>416</v>
      </c>
      <c r="C33" s="155"/>
      <c r="D33" s="60" t="s">
        <v>417</v>
      </c>
      <c r="E33" s="7" t="s">
        <v>38</v>
      </c>
      <c r="F33" s="7" t="s">
        <v>413</v>
      </c>
      <c r="G33" s="21">
        <v>7</v>
      </c>
      <c r="H33" s="7" t="s">
        <v>402</v>
      </c>
      <c r="I33" s="7">
        <v>2</v>
      </c>
      <c r="J33" s="160"/>
      <c r="K33" s="7">
        <v>4</v>
      </c>
      <c r="L33" s="7">
        <f t="shared" si="2"/>
        <v>56</v>
      </c>
      <c r="M33" s="155"/>
      <c r="N33" s="46"/>
      <c r="O33" s="46"/>
      <c r="P33" s="155"/>
      <c r="Q33" s="155"/>
      <c r="R33" s="7"/>
      <c r="S33" s="7"/>
      <c r="T33" s="7"/>
      <c r="U33" s="7"/>
      <c r="V33" s="7"/>
    </row>
    <row r="34" spans="1:232" s="88" customFormat="1" ht="66" customHeight="1" x14ac:dyDescent="0.45">
      <c r="A34" s="155"/>
      <c r="B34" s="155" t="s">
        <v>418</v>
      </c>
      <c r="C34" s="155"/>
      <c r="D34" s="60" t="s">
        <v>419</v>
      </c>
      <c r="E34" s="7" t="s">
        <v>38</v>
      </c>
      <c r="F34" s="7" t="s">
        <v>413</v>
      </c>
      <c r="G34" s="21">
        <v>7</v>
      </c>
      <c r="H34" s="7" t="s">
        <v>420</v>
      </c>
      <c r="I34" s="7">
        <v>2</v>
      </c>
      <c r="J34" s="160"/>
      <c r="K34" s="7">
        <v>4</v>
      </c>
      <c r="L34" s="7">
        <f t="shared" si="2"/>
        <v>56</v>
      </c>
      <c r="M34" s="7"/>
      <c r="N34" s="46"/>
      <c r="O34" s="46"/>
      <c r="P34" s="155"/>
      <c r="Q34" s="155"/>
      <c r="R34" s="7"/>
      <c r="S34" s="7"/>
      <c r="T34" s="7"/>
      <c r="U34" s="7"/>
      <c r="V34" s="7"/>
    </row>
    <row r="35" spans="1:232" s="88" customFormat="1" ht="64" customHeight="1" x14ac:dyDescent="0.45">
      <c r="A35" s="155" t="s">
        <v>421</v>
      </c>
      <c r="B35" s="155" t="s">
        <v>422</v>
      </c>
      <c r="C35" s="155"/>
      <c r="D35" s="60" t="s">
        <v>423</v>
      </c>
      <c r="E35" s="7" t="s">
        <v>38</v>
      </c>
      <c r="F35" s="7" t="s">
        <v>413</v>
      </c>
      <c r="G35" s="7">
        <v>7</v>
      </c>
      <c r="H35" s="7" t="s">
        <v>394</v>
      </c>
      <c r="I35" s="7">
        <v>3</v>
      </c>
      <c r="J35" s="160" t="s">
        <v>424</v>
      </c>
      <c r="K35" s="7">
        <v>4</v>
      </c>
      <c r="L35" s="7">
        <f t="shared" ref="L35:L47" si="3">G35*I35*K35</f>
        <v>84</v>
      </c>
      <c r="M35" s="155" t="s">
        <v>331</v>
      </c>
      <c r="N35" s="182"/>
      <c r="O35" s="46"/>
      <c r="P35" s="155"/>
      <c r="Q35" s="155"/>
      <c r="R35" s="7"/>
      <c r="S35" s="7"/>
      <c r="T35" s="7"/>
      <c r="U35" s="7"/>
      <c r="V35" s="7"/>
    </row>
    <row r="36" spans="1:232" s="88" customFormat="1" ht="67" customHeight="1" x14ac:dyDescent="0.45">
      <c r="A36" s="155"/>
      <c r="B36" s="155"/>
      <c r="C36" s="155"/>
      <c r="D36" s="60" t="s">
        <v>425</v>
      </c>
      <c r="E36" s="7" t="s">
        <v>38</v>
      </c>
      <c r="F36" s="7" t="s">
        <v>413</v>
      </c>
      <c r="G36" s="7">
        <v>7</v>
      </c>
      <c r="H36" s="7" t="s">
        <v>426</v>
      </c>
      <c r="I36" s="7">
        <v>3</v>
      </c>
      <c r="J36" s="160"/>
      <c r="K36" s="7">
        <v>4</v>
      </c>
      <c r="L36" s="7">
        <f t="shared" si="3"/>
        <v>84</v>
      </c>
      <c r="M36" s="155"/>
      <c r="N36" s="182"/>
      <c r="O36" s="46"/>
      <c r="P36" s="155"/>
      <c r="Q36" s="155"/>
      <c r="R36" s="7"/>
      <c r="S36" s="7"/>
      <c r="T36" s="7"/>
      <c r="U36" s="7"/>
      <c r="V36" s="7"/>
    </row>
    <row r="37" spans="1:232" s="87" customFormat="1" ht="65.05" customHeight="1" x14ac:dyDescent="0.45">
      <c r="A37" s="155" t="s">
        <v>427</v>
      </c>
      <c r="B37" s="155" t="s">
        <v>428</v>
      </c>
      <c r="C37" s="155"/>
      <c r="D37" s="60" t="s">
        <v>429</v>
      </c>
      <c r="E37" s="7" t="s">
        <v>38</v>
      </c>
      <c r="F37" s="7" t="s">
        <v>388</v>
      </c>
      <c r="G37" s="7">
        <v>6</v>
      </c>
      <c r="H37" s="7" t="s">
        <v>329</v>
      </c>
      <c r="I37" s="7">
        <v>3</v>
      </c>
      <c r="J37" s="160" t="s">
        <v>430</v>
      </c>
      <c r="K37" s="7">
        <v>4</v>
      </c>
      <c r="L37" s="7">
        <f t="shared" si="3"/>
        <v>72</v>
      </c>
      <c r="M37" s="155" t="s">
        <v>431</v>
      </c>
      <c r="N37" s="155" t="s">
        <v>432</v>
      </c>
      <c r="O37" s="155" t="s">
        <v>350</v>
      </c>
      <c r="P37" s="155" t="s">
        <v>433</v>
      </c>
      <c r="Q37" s="155"/>
      <c r="R37" s="93"/>
      <c r="S37" s="93"/>
      <c r="T37" s="93"/>
      <c r="U37" s="93"/>
      <c r="V37" s="154"/>
      <c r="HU37"/>
      <c r="HV37"/>
      <c r="HW37"/>
      <c r="HX37"/>
    </row>
    <row r="38" spans="1:232" s="87" customFormat="1" ht="94" customHeight="1" x14ac:dyDescent="0.45">
      <c r="A38" s="155"/>
      <c r="B38" s="155" t="s">
        <v>434</v>
      </c>
      <c r="C38" s="155"/>
      <c r="D38" s="60" t="s">
        <v>435</v>
      </c>
      <c r="E38" s="7" t="s">
        <v>38</v>
      </c>
      <c r="F38" s="7" t="s">
        <v>436</v>
      </c>
      <c r="G38" s="7">
        <v>8</v>
      </c>
      <c r="H38" s="7" t="s">
        <v>329</v>
      </c>
      <c r="I38" s="7">
        <v>3</v>
      </c>
      <c r="J38" s="160"/>
      <c r="K38" s="7">
        <v>4</v>
      </c>
      <c r="L38" s="7">
        <f t="shared" si="3"/>
        <v>96</v>
      </c>
      <c r="M38" s="155"/>
      <c r="N38" s="155"/>
      <c r="O38" s="155"/>
      <c r="P38" s="155"/>
      <c r="Q38" s="155"/>
      <c r="R38" s="7">
        <v>8</v>
      </c>
      <c r="S38" s="4">
        <v>1</v>
      </c>
      <c r="T38" s="4">
        <v>4</v>
      </c>
      <c r="U38" s="4">
        <f>R38*S38*T38</f>
        <v>32</v>
      </c>
      <c r="V38" s="154"/>
      <c r="HF38"/>
      <c r="HG38"/>
      <c r="HH38"/>
      <c r="HI38"/>
    </row>
    <row r="39" spans="1:232" s="87" customFormat="1" ht="61" customHeight="1" x14ac:dyDescent="0.45">
      <c r="A39" s="155" t="s">
        <v>437</v>
      </c>
      <c r="B39" s="156" t="s">
        <v>383</v>
      </c>
      <c r="C39" s="156"/>
      <c r="D39" s="60" t="s">
        <v>384</v>
      </c>
      <c r="E39" s="7" t="s">
        <v>38</v>
      </c>
      <c r="F39" s="7" t="s">
        <v>385</v>
      </c>
      <c r="G39" s="7">
        <v>5</v>
      </c>
      <c r="H39" s="7" t="s">
        <v>329</v>
      </c>
      <c r="I39" s="7">
        <v>3</v>
      </c>
      <c r="J39" s="160" t="s">
        <v>386</v>
      </c>
      <c r="K39" s="7">
        <v>4</v>
      </c>
      <c r="L39" s="7">
        <f t="shared" si="3"/>
        <v>60</v>
      </c>
      <c r="M39" s="155" t="s">
        <v>331</v>
      </c>
      <c r="N39" s="7"/>
      <c r="O39" s="98"/>
      <c r="P39" s="155"/>
      <c r="Q39" s="155"/>
      <c r="R39" s="93"/>
      <c r="S39" s="93"/>
      <c r="T39" s="93"/>
      <c r="U39" s="93"/>
      <c r="V39" s="93"/>
      <c r="HU39"/>
      <c r="HV39"/>
      <c r="HW39"/>
      <c r="HX39"/>
    </row>
    <row r="40" spans="1:232" s="87" customFormat="1" ht="68.05" customHeight="1" x14ac:dyDescent="0.45">
      <c r="A40" s="155"/>
      <c r="B40" s="156"/>
      <c r="C40" s="156"/>
      <c r="D40" s="60" t="s">
        <v>387</v>
      </c>
      <c r="E40" s="7" t="s">
        <v>38</v>
      </c>
      <c r="F40" s="7" t="s">
        <v>388</v>
      </c>
      <c r="G40" s="7">
        <v>5</v>
      </c>
      <c r="H40" s="7" t="s">
        <v>329</v>
      </c>
      <c r="I40" s="7">
        <v>3</v>
      </c>
      <c r="J40" s="160"/>
      <c r="K40" s="7">
        <v>4</v>
      </c>
      <c r="L40" s="7">
        <f t="shared" si="3"/>
        <v>60</v>
      </c>
      <c r="M40" s="155"/>
      <c r="N40" s="7"/>
      <c r="O40" s="98"/>
      <c r="P40" s="155"/>
      <c r="Q40" s="155"/>
      <c r="R40" s="93"/>
      <c r="S40" s="93"/>
      <c r="T40" s="93"/>
      <c r="U40" s="93"/>
      <c r="V40" s="93"/>
      <c r="HU40"/>
      <c r="HV40"/>
      <c r="HW40"/>
      <c r="HX40"/>
    </row>
    <row r="41" spans="1:232" s="87" customFormat="1" ht="66" customHeight="1" x14ac:dyDescent="0.45">
      <c r="A41" s="155"/>
      <c r="B41" s="156"/>
      <c r="C41" s="156"/>
      <c r="D41" s="60" t="s">
        <v>389</v>
      </c>
      <c r="E41" s="7" t="s">
        <v>38</v>
      </c>
      <c r="F41" s="7" t="s">
        <v>388</v>
      </c>
      <c r="G41" s="7">
        <v>7</v>
      </c>
      <c r="H41" s="7" t="s">
        <v>329</v>
      </c>
      <c r="I41" s="7">
        <v>3</v>
      </c>
      <c r="J41" s="160"/>
      <c r="K41" s="7">
        <v>4</v>
      </c>
      <c r="L41" s="7">
        <f t="shared" si="3"/>
        <v>84</v>
      </c>
      <c r="M41" s="155"/>
      <c r="N41" s="7"/>
      <c r="O41" s="98"/>
      <c r="P41" s="155"/>
      <c r="Q41" s="155"/>
      <c r="R41" s="93"/>
      <c r="S41" s="93"/>
      <c r="T41" s="93"/>
      <c r="U41" s="93"/>
      <c r="V41" s="93"/>
      <c r="HU41"/>
      <c r="HV41"/>
      <c r="HW41"/>
      <c r="HX41"/>
    </row>
    <row r="42" spans="1:232" s="87" customFormat="1" ht="48" customHeight="1" x14ac:dyDescent="0.45">
      <c r="A42" s="155" t="s">
        <v>438</v>
      </c>
      <c r="B42" s="155" t="s">
        <v>434</v>
      </c>
      <c r="C42" s="155"/>
      <c r="D42" s="60" t="s">
        <v>439</v>
      </c>
      <c r="E42" s="7" t="s">
        <v>38</v>
      </c>
      <c r="F42" s="7" t="s">
        <v>440</v>
      </c>
      <c r="G42" s="7">
        <v>5</v>
      </c>
      <c r="H42" s="7" t="s">
        <v>329</v>
      </c>
      <c r="I42" s="7">
        <v>4</v>
      </c>
      <c r="J42" s="160" t="s">
        <v>441</v>
      </c>
      <c r="K42" s="7">
        <v>4</v>
      </c>
      <c r="L42" s="7">
        <f t="shared" si="3"/>
        <v>80</v>
      </c>
      <c r="M42" s="155" t="s">
        <v>431</v>
      </c>
      <c r="N42" s="155" t="s">
        <v>432</v>
      </c>
      <c r="O42" s="182" t="s">
        <v>350</v>
      </c>
      <c r="P42" s="155" t="s">
        <v>433</v>
      </c>
      <c r="Q42" s="155"/>
      <c r="R42" s="98"/>
      <c r="S42" s="98"/>
      <c r="T42" s="98"/>
      <c r="U42" s="98"/>
      <c r="V42" s="155"/>
      <c r="HU42"/>
      <c r="HV42"/>
      <c r="HW42"/>
      <c r="HX42"/>
    </row>
    <row r="43" spans="1:232" s="87" customFormat="1" ht="39" customHeight="1" x14ac:dyDescent="0.45">
      <c r="A43" s="155"/>
      <c r="B43" s="155"/>
      <c r="C43" s="155"/>
      <c r="D43" s="60" t="s">
        <v>442</v>
      </c>
      <c r="E43" s="7" t="s">
        <v>38</v>
      </c>
      <c r="F43" s="7" t="s">
        <v>443</v>
      </c>
      <c r="G43" s="7">
        <v>5</v>
      </c>
      <c r="H43" s="7" t="s">
        <v>329</v>
      </c>
      <c r="I43" s="7">
        <v>4</v>
      </c>
      <c r="J43" s="160"/>
      <c r="K43" s="7">
        <v>4</v>
      </c>
      <c r="L43" s="7">
        <f t="shared" si="3"/>
        <v>80</v>
      </c>
      <c r="M43" s="155"/>
      <c r="N43" s="155"/>
      <c r="O43" s="182"/>
      <c r="P43" s="155"/>
      <c r="Q43" s="155"/>
      <c r="R43" s="98"/>
      <c r="S43" s="98"/>
      <c r="T43" s="98"/>
      <c r="U43" s="98"/>
      <c r="V43" s="155"/>
      <c r="HU43"/>
      <c r="HV43"/>
      <c r="HW43"/>
      <c r="HX43"/>
    </row>
    <row r="44" spans="1:232" s="87" customFormat="1" ht="105" customHeight="1" x14ac:dyDescent="0.45">
      <c r="A44" s="155"/>
      <c r="B44" s="155"/>
      <c r="C44" s="155"/>
      <c r="D44" s="60" t="s">
        <v>435</v>
      </c>
      <c r="E44" s="7" t="s">
        <v>38</v>
      </c>
      <c r="F44" s="7" t="s">
        <v>436</v>
      </c>
      <c r="G44" s="7">
        <v>8</v>
      </c>
      <c r="H44" s="7" t="s">
        <v>329</v>
      </c>
      <c r="I44" s="7">
        <v>3</v>
      </c>
      <c r="J44" s="160"/>
      <c r="K44" s="7">
        <v>4</v>
      </c>
      <c r="L44" s="7">
        <f t="shared" si="3"/>
        <v>96</v>
      </c>
      <c r="M44" s="155"/>
      <c r="N44" s="155"/>
      <c r="O44" s="182"/>
      <c r="P44" s="155"/>
      <c r="Q44" s="155"/>
      <c r="R44" s="7">
        <v>8</v>
      </c>
      <c r="S44" s="7">
        <v>1</v>
      </c>
      <c r="T44" s="7">
        <v>4</v>
      </c>
      <c r="U44" s="7">
        <v>32</v>
      </c>
      <c r="V44" s="155"/>
      <c r="HF44"/>
      <c r="HG44"/>
      <c r="HH44"/>
      <c r="HI44"/>
    </row>
    <row r="45" spans="1:232" s="87" customFormat="1" ht="76" customHeight="1" x14ac:dyDescent="0.45">
      <c r="A45" s="155"/>
      <c r="B45" s="155" t="s">
        <v>444</v>
      </c>
      <c r="C45" s="155"/>
      <c r="D45" s="60" t="s">
        <v>445</v>
      </c>
      <c r="E45" s="7" t="s">
        <v>38</v>
      </c>
      <c r="F45" s="7" t="s">
        <v>388</v>
      </c>
      <c r="G45" s="7">
        <v>5</v>
      </c>
      <c r="H45" s="7" t="s">
        <v>329</v>
      </c>
      <c r="I45" s="7">
        <v>3</v>
      </c>
      <c r="J45" s="160"/>
      <c r="K45" s="7">
        <v>4</v>
      </c>
      <c r="L45" s="7">
        <f t="shared" si="3"/>
        <v>60</v>
      </c>
      <c r="M45" s="155"/>
      <c r="N45" s="155"/>
      <c r="O45" s="182"/>
      <c r="P45" s="155"/>
      <c r="Q45" s="155"/>
      <c r="R45" s="98"/>
      <c r="S45" s="98"/>
      <c r="T45" s="98"/>
      <c r="U45" s="98"/>
      <c r="V45" s="155"/>
      <c r="HU45"/>
      <c r="HV45"/>
      <c r="HW45"/>
      <c r="HX45"/>
    </row>
    <row r="46" spans="1:232" s="87" customFormat="1" ht="63" customHeight="1" x14ac:dyDescent="0.45">
      <c r="A46" s="154" t="s">
        <v>446</v>
      </c>
      <c r="B46" s="154" t="s">
        <v>355</v>
      </c>
      <c r="C46" s="154"/>
      <c r="D46" s="4" t="s">
        <v>356</v>
      </c>
      <c r="E46" s="4" t="s">
        <v>38</v>
      </c>
      <c r="F46" s="4" t="s">
        <v>334</v>
      </c>
      <c r="G46" s="96">
        <v>5</v>
      </c>
      <c r="H46" s="4" t="s">
        <v>329</v>
      </c>
      <c r="I46" s="97">
        <v>1</v>
      </c>
      <c r="J46" s="4" t="s">
        <v>99</v>
      </c>
      <c r="K46" s="97">
        <v>2</v>
      </c>
      <c r="L46" s="7">
        <f t="shared" si="3"/>
        <v>10</v>
      </c>
      <c r="M46" s="4"/>
      <c r="N46" s="4"/>
      <c r="O46" s="46"/>
      <c r="P46" s="154"/>
      <c r="Q46" s="154"/>
      <c r="R46" s="95"/>
      <c r="S46" s="95"/>
      <c r="T46" s="95"/>
      <c r="U46" s="93"/>
      <c r="V46" s="4"/>
      <c r="HU46"/>
      <c r="HV46"/>
      <c r="HW46"/>
      <c r="HX46"/>
    </row>
    <row r="47" spans="1:232" s="87" customFormat="1" ht="63" customHeight="1" x14ac:dyDescent="0.45">
      <c r="A47" s="154"/>
      <c r="B47" s="154" t="s">
        <v>340</v>
      </c>
      <c r="C47" s="154"/>
      <c r="D47" s="4" t="s">
        <v>341</v>
      </c>
      <c r="E47" s="4" t="s">
        <v>38</v>
      </c>
      <c r="F47" s="4" t="s">
        <v>95</v>
      </c>
      <c r="G47" s="7">
        <v>5</v>
      </c>
      <c r="H47" s="4" t="s">
        <v>338</v>
      </c>
      <c r="I47" s="7">
        <v>2</v>
      </c>
      <c r="J47" s="4" t="s">
        <v>357</v>
      </c>
      <c r="K47" s="7">
        <v>2</v>
      </c>
      <c r="L47" s="7">
        <f t="shared" si="3"/>
        <v>20</v>
      </c>
      <c r="M47" s="4"/>
      <c r="N47" s="30"/>
      <c r="O47" s="46"/>
      <c r="P47" s="155"/>
      <c r="Q47" s="155"/>
      <c r="R47" s="7"/>
      <c r="S47" s="7"/>
      <c r="T47" s="7"/>
      <c r="U47" s="7"/>
      <c r="V47" s="7"/>
      <c r="HU47"/>
      <c r="HV47"/>
      <c r="HW47"/>
      <c r="HX47"/>
    </row>
    <row r="48" spans="1:232" s="87" customFormat="1" ht="57" customHeight="1" x14ac:dyDescent="0.45">
      <c r="A48" s="155" t="s">
        <v>447</v>
      </c>
      <c r="B48" s="155" t="s">
        <v>428</v>
      </c>
      <c r="C48" s="155"/>
      <c r="D48" s="60" t="s">
        <v>429</v>
      </c>
      <c r="E48" s="7" t="s">
        <v>38</v>
      </c>
      <c r="F48" s="155" t="s">
        <v>448</v>
      </c>
      <c r="G48" s="7">
        <v>8</v>
      </c>
      <c r="H48" s="155" t="s">
        <v>338</v>
      </c>
      <c r="I48" s="7">
        <v>3</v>
      </c>
      <c r="J48" s="155" t="s">
        <v>449</v>
      </c>
      <c r="K48" s="7">
        <v>4</v>
      </c>
      <c r="L48" s="7">
        <f t="shared" ref="L48:L58" si="4">G48*I48*K48</f>
        <v>96</v>
      </c>
      <c r="M48" s="155" t="s">
        <v>431</v>
      </c>
      <c r="N48" s="155" t="s">
        <v>432</v>
      </c>
      <c r="O48" s="155" t="s">
        <v>350</v>
      </c>
      <c r="P48" s="155" t="s">
        <v>450</v>
      </c>
      <c r="Q48" s="155"/>
      <c r="R48" s="155">
        <v>8</v>
      </c>
      <c r="S48" s="155">
        <v>1</v>
      </c>
      <c r="T48" s="155">
        <v>4</v>
      </c>
      <c r="U48" s="155">
        <f>R48*S48*T48</f>
        <v>32</v>
      </c>
      <c r="V48" s="154"/>
      <c r="HU48"/>
      <c r="HV48"/>
      <c r="HW48"/>
      <c r="HX48"/>
    </row>
    <row r="49" spans="1:232" s="87" customFormat="1" ht="57" customHeight="1" x14ac:dyDescent="0.45">
      <c r="A49" s="155"/>
      <c r="B49" s="155" t="s">
        <v>451</v>
      </c>
      <c r="C49" s="155"/>
      <c r="D49" s="60" t="s">
        <v>435</v>
      </c>
      <c r="E49" s="7" t="s">
        <v>38</v>
      </c>
      <c r="F49" s="155"/>
      <c r="G49" s="7">
        <v>8</v>
      </c>
      <c r="H49" s="155"/>
      <c r="I49" s="7">
        <v>3</v>
      </c>
      <c r="J49" s="155"/>
      <c r="K49" s="7">
        <v>4</v>
      </c>
      <c r="L49" s="7">
        <f t="shared" si="4"/>
        <v>96</v>
      </c>
      <c r="M49" s="155"/>
      <c r="N49" s="155"/>
      <c r="O49" s="155"/>
      <c r="P49" s="155"/>
      <c r="Q49" s="155"/>
      <c r="R49" s="155"/>
      <c r="S49" s="155"/>
      <c r="T49" s="155"/>
      <c r="U49" s="155"/>
      <c r="V49" s="154"/>
      <c r="HF49"/>
      <c r="HG49"/>
      <c r="HH49"/>
      <c r="HI49"/>
    </row>
    <row r="50" spans="1:232" s="87" customFormat="1" ht="51" customHeight="1" x14ac:dyDescent="0.45">
      <c r="A50" s="155"/>
      <c r="B50" s="155" t="s">
        <v>452</v>
      </c>
      <c r="C50" s="155"/>
      <c r="D50" s="60" t="s">
        <v>453</v>
      </c>
      <c r="E50" s="7" t="s">
        <v>38</v>
      </c>
      <c r="F50" s="155"/>
      <c r="G50" s="7">
        <v>8</v>
      </c>
      <c r="H50" s="155"/>
      <c r="I50" s="7">
        <v>3</v>
      </c>
      <c r="J50" s="155"/>
      <c r="K50" s="7">
        <v>4</v>
      </c>
      <c r="L50" s="7">
        <f t="shared" si="4"/>
        <v>96</v>
      </c>
      <c r="M50" s="155"/>
      <c r="N50" s="155"/>
      <c r="O50" s="155"/>
      <c r="P50" s="155"/>
      <c r="Q50" s="155"/>
      <c r="R50" s="155"/>
      <c r="S50" s="155"/>
      <c r="T50" s="155"/>
      <c r="U50" s="155"/>
      <c r="V50" s="154"/>
      <c r="HU50"/>
      <c r="HV50"/>
      <c r="HW50"/>
      <c r="HX50"/>
    </row>
    <row r="51" spans="1:232" s="87" customFormat="1" ht="42" customHeight="1" x14ac:dyDescent="0.45">
      <c r="A51" s="155"/>
      <c r="B51" s="155" t="s">
        <v>454</v>
      </c>
      <c r="C51" s="155"/>
      <c r="D51" s="60" t="s">
        <v>166</v>
      </c>
      <c r="E51" s="7" t="s">
        <v>38</v>
      </c>
      <c r="F51" s="155"/>
      <c r="G51" s="7">
        <v>8</v>
      </c>
      <c r="H51" s="155"/>
      <c r="I51" s="7">
        <v>3</v>
      </c>
      <c r="J51" s="155"/>
      <c r="K51" s="7">
        <v>4</v>
      </c>
      <c r="L51" s="7">
        <f t="shared" si="4"/>
        <v>96</v>
      </c>
      <c r="M51" s="155"/>
      <c r="N51" s="155"/>
      <c r="O51" s="155"/>
      <c r="P51" s="155"/>
      <c r="Q51" s="155"/>
      <c r="R51" s="155"/>
      <c r="S51" s="155"/>
      <c r="T51" s="155"/>
      <c r="U51" s="155"/>
      <c r="V51" s="154"/>
      <c r="HU51"/>
      <c r="HV51"/>
      <c r="HW51"/>
      <c r="HX51"/>
    </row>
    <row r="52" spans="1:232" s="87" customFormat="1" ht="42" customHeight="1" x14ac:dyDescent="0.45">
      <c r="A52" s="155"/>
      <c r="B52" s="155"/>
      <c r="C52" s="155"/>
      <c r="D52" s="98" t="s">
        <v>443</v>
      </c>
      <c r="E52" s="7" t="s">
        <v>38</v>
      </c>
      <c r="F52" s="155"/>
      <c r="G52" s="7">
        <v>8</v>
      </c>
      <c r="H52" s="155"/>
      <c r="I52" s="7">
        <v>3</v>
      </c>
      <c r="J52" s="155"/>
      <c r="K52" s="7">
        <v>4</v>
      </c>
      <c r="L52" s="7">
        <f t="shared" si="4"/>
        <v>96</v>
      </c>
      <c r="M52" s="155"/>
      <c r="N52" s="155"/>
      <c r="O52" s="155"/>
      <c r="P52" s="155"/>
      <c r="Q52" s="155"/>
      <c r="R52" s="155"/>
      <c r="S52" s="155"/>
      <c r="T52" s="155"/>
      <c r="U52" s="155"/>
      <c r="V52" s="154"/>
      <c r="HU52"/>
      <c r="HV52"/>
      <c r="HW52"/>
      <c r="HX52"/>
    </row>
    <row r="53" spans="1:232" s="87" customFormat="1" ht="42" customHeight="1" x14ac:dyDescent="0.45">
      <c r="A53" s="155" t="s">
        <v>455</v>
      </c>
      <c r="B53" s="155" t="s">
        <v>456</v>
      </c>
      <c r="C53" s="155"/>
      <c r="D53" s="60" t="s">
        <v>457</v>
      </c>
      <c r="E53" s="7" t="s">
        <v>38</v>
      </c>
      <c r="F53" s="7" t="s">
        <v>448</v>
      </c>
      <c r="G53" s="7">
        <v>7</v>
      </c>
      <c r="H53" s="7" t="s">
        <v>458</v>
      </c>
      <c r="I53" s="7">
        <v>3</v>
      </c>
      <c r="J53" s="155" t="s">
        <v>459</v>
      </c>
      <c r="K53" s="7">
        <v>4</v>
      </c>
      <c r="L53" s="7">
        <f t="shared" si="4"/>
        <v>84</v>
      </c>
      <c r="M53" s="155" t="s">
        <v>331</v>
      </c>
      <c r="N53" s="30"/>
      <c r="O53" s="46"/>
      <c r="P53" s="155"/>
      <c r="Q53" s="155"/>
      <c r="R53" s="4"/>
      <c r="S53" s="4"/>
      <c r="T53" s="4"/>
      <c r="U53" s="4"/>
      <c r="V53" s="4"/>
      <c r="HU53"/>
      <c r="HV53"/>
      <c r="HW53"/>
      <c r="HX53"/>
    </row>
    <row r="54" spans="1:232" s="87" customFormat="1" ht="42" customHeight="1" x14ac:dyDescent="0.45">
      <c r="A54" s="155"/>
      <c r="B54" s="155"/>
      <c r="C54" s="155"/>
      <c r="D54" s="60" t="s">
        <v>460</v>
      </c>
      <c r="E54" s="7" t="s">
        <v>38</v>
      </c>
      <c r="F54" s="7" t="s">
        <v>448</v>
      </c>
      <c r="G54" s="7">
        <v>7</v>
      </c>
      <c r="H54" s="7" t="s">
        <v>458</v>
      </c>
      <c r="I54" s="7">
        <v>3</v>
      </c>
      <c r="J54" s="155"/>
      <c r="K54" s="7">
        <v>4</v>
      </c>
      <c r="L54" s="7">
        <f t="shared" si="4"/>
        <v>84</v>
      </c>
      <c r="M54" s="155"/>
      <c r="N54" s="30"/>
      <c r="O54" s="46"/>
      <c r="P54" s="155"/>
      <c r="Q54" s="155"/>
      <c r="R54" s="4"/>
      <c r="S54" s="4"/>
      <c r="T54" s="4"/>
      <c r="U54" s="4"/>
      <c r="V54" s="4"/>
      <c r="HU54"/>
      <c r="HV54"/>
      <c r="HW54"/>
      <c r="HX54"/>
    </row>
    <row r="55" spans="1:232" s="87" customFormat="1" ht="42" customHeight="1" x14ac:dyDescent="0.45">
      <c r="A55" s="155"/>
      <c r="B55" s="155" t="s">
        <v>461</v>
      </c>
      <c r="C55" s="155"/>
      <c r="D55" s="60" t="s">
        <v>462</v>
      </c>
      <c r="E55" s="7" t="s">
        <v>38</v>
      </c>
      <c r="F55" s="7" t="s">
        <v>413</v>
      </c>
      <c r="G55" s="21">
        <v>7</v>
      </c>
      <c r="H55" s="7" t="s">
        <v>420</v>
      </c>
      <c r="I55" s="7">
        <v>2</v>
      </c>
      <c r="J55" s="7"/>
      <c r="K55" s="7">
        <v>4</v>
      </c>
      <c r="L55" s="7">
        <f t="shared" si="4"/>
        <v>56</v>
      </c>
      <c r="M55" s="155"/>
      <c r="N55" s="46"/>
      <c r="O55" s="46"/>
      <c r="P55" s="155"/>
      <c r="Q55" s="155"/>
      <c r="R55" s="7"/>
      <c r="S55" s="7"/>
      <c r="T55" s="7"/>
      <c r="U55" s="7"/>
      <c r="V55" s="7"/>
      <c r="HU55"/>
      <c r="HV55"/>
      <c r="HW55"/>
      <c r="HX55"/>
    </row>
    <row r="56" spans="1:232" s="87" customFormat="1" ht="42" customHeight="1" x14ac:dyDescent="0.45">
      <c r="A56" s="155" t="s">
        <v>463</v>
      </c>
      <c r="B56" s="155" t="s">
        <v>464</v>
      </c>
      <c r="C56" s="155"/>
      <c r="D56" s="155" t="s">
        <v>465</v>
      </c>
      <c r="E56" s="7" t="s">
        <v>38</v>
      </c>
      <c r="F56" s="7" t="s">
        <v>466</v>
      </c>
      <c r="G56" s="7">
        <v>2</v>
      </c>
      <c r="H56" s="7" t="s">
        <v>329</v>
      </c>
      <c r="I56" s="7">
        <v>3</v>
      </c>
      <c r="J56" s="155" t="s">
        <v>459</v>
      </c>
      <c r="K56" s="7">
        <v>4</v>
      </c>
      <c r="L56" s="7">
        <f t="shared" si="4"/>
        <v>24</v>
      </c>
      <c r="M56" s="155" t="s">
        <v>331</v>
      </c>
      <c r="N56" s="30"/>
      <c r="O56" s="46"/>
      <c r="P56" s="155"/>
      <c r="Q56" s="155"/>
      <c r="R56" s="4"/>
      <c r="S56" s="4"/>
      <c r="T56" s="4"/>
      <c r="U56" s="4"/>
      <c r="V56" s="4"/>
      <c r="HU56"/>
      <c r="HV56"/>
      <c r="HW56"/>
      <c r="HX56"/>
    </row>
    <row r="57" spans="1:232" s="87" customFormat="1" ht="42" customHeight="1" x14ac:dyDescent="0.45">
      <c r="A57" s="155"/>
      <c r="B57" s="155"/>
      <c r="C57" s="155"/>
      <c r="D57" s="155"/>
      <c r="E57" s="7" t="s">
        <v>38</v>
      </c>
      <c r="F57" s="7" t="s">
        <v>467</v>
      </c>
      <c r="G57" s="7">
        <v>7</v>
      </c>
      <c r="H57" s="7" t="s">
        <v>329</v>
      </c>
      <c r="I57" s="7">
        <v>3</v>
      </c>
      <c r="J57" s="155"/>
      <c r="K57" s="7">
        <v>4</v>
      </c>
      <c r="L57" s="7">
        <f t="shared" si="4"/>
        <v>84</v>
      </c>
      <c r="M57" s="155"/>
      <c r="N57" s="30"/>
      <c r="O57" s="46"/>
      <c r="P57" s="155"/>
      <c r="Q57" s="155"/>
      <c r="R57" s="4"/>
      <c r="S57" s="4"/>
      <c r="T57" s="4"/>
      <c r="U57" s="4"/>
      <c r="V57" s="4"/>
      <c r="HU57"/>
      <c r="HV57"/>
      <c r="HW57"/>
      <c r="HX57"/>
    </row>
    <row r="58" spans="1:232" s="87" customFormat="1" ht="42" customHeight="1" x14ac:dyDescent="0.45">
      <c r="A58" s="155"/>
      <c r="B58" s="155"/>
      <c r="C58" s="155"/>
      <c r="D58" s="60" t="s">
        <v>468</v>
      </c>
      <c r="E58" s="7" t="s">
        <v>38</v>
      </c>
      <c r="F58" s="7" t="s">
        <v>467</v>
      </c>
      <c r="G58" s="7">
        <v>7</v>
      </c>
      <c r="H58" s="7" t="s">
        <v>329</v>
      </c>
      <c r="I58" s="7">
        <v>3</v>
      </c>
      <c r="J58" s="155"/>
      <c r="K58" s="7">
        <v>4</v>
      </c>
      <c r="L58" s="7">
        <f t="shared" si="4"/>
        <v>84</v>
      </c>
      <c r="M58" s="155"/>
      <c r="N58" s="30"/>
      <c r="O58" s="46"/>
      <c r="P58" s="155"/>
      <c r="Q58" s="155"/>
      <c r="R58" s="4"/>
      <c r="S58" s="4"/>
      <c r="T58" s="4"/>
      <c r="U58" s="4"/>
      <c r="V58" s="4"/>
      <c r="HU58"/>
      <c r="HV58"/>
      <c r="HW58"/>
      <c r="HX58"/>
    </row>
    <row r="59" spans="1:232" s="87" customFormat="1" ht="43" customHeight="1" x14ac:dyDescent="0.45">
      <c r="A59" s="155" t="s">
        <v>469</v>
      </c>
      <c r="B59" s="155" t="s">
        <v>434</v>
      </c>
      <c r="C59" s="155"/>
      <c r="D59" s="60" t="s">
        <v>439</v>
      </c>
      <c r="E59" s="7" t="s">
        <v>38</v>
      </c>
      <c r="F59" s="7" t="s">
        <v>440</v>
      </c>
      <c r="G59" s="7">
        <v>5</v>
      </c>
      <c r="H59" s="7" t="s">
        <v>329</v>
      </c>
      <c r="I59" s="7">
        <v>4</v>
      </c>
      <c r="J59" s="155" t="s">
        <v>470</v>
      </c>
      <c r="K59" s="7">
        <v>4</v>
      </c>
      <c r="L59" s="7">
        <f t="shared" ref="L59:L83" si="5">G59*I59*K59</f>
        <v>80</v>
      </c>
      <c r="M59" s="155" t="s">
        <v>431</v>
      </c>
      <c r="N59" s="155" t="s">
        <v>432</v>
      </c>
      <c r="O59" s="182" t="s">
        <v>350</v>
      </c>
      <c r="P59" s="155" t="s">
        <v>471</v>
      </c>
      <c r="Q59" s="155"/>
      <c r="R59" s="7"/>
      <c r="S59" s="4"/>
      <c r="T59" s="4"/>
      <c r="U59" s="4"/>
      <c r="V59" s="154"/>
      <c r="HU59"/>
      <c r="HV59"/>
      <c r="HW59"/>
      <c r="HX59"/>
    </row>
    <row r="60" spans="1:232" s="87" customFormat="1" ht="49" customHeight="1" x14ac:dyDescent="0.45">
      <c r="A60" s="155"/>
      <c r="B60" s="155"/>
      <c r="C60" s="155"/>
      <c r="D60" s="60" t="s">
        <v>442</v>
      </c>
      <c r="E60" s="7" t="s">
        <v>38</v>
      </c>
      <c r="F60" s="7" t="s">
        <v>443</v>
      </c>
      <c r="G60" s="7">
        <v>5</v>
      </c>
      <c r="H60" s="7" t="s">
        <v>329</v>
      </c>
      <c r="I60" s="7">
        <v>4</v>
      </c>
      <c r="J60" s="155"/>
      <c r="K60" s="7">
        <v>4</v>
      </c>
      <c r="L60" s="7">
        <f t="shared" si="5"/>
        <v>80</v>
      </c>
      <c r="M60" s="155"/>
      <c r="N60" s="155"/>
      <c r="O60" s="182"/>
      <c r="P60" s="155"/>
      <c r="Q60" s="155"/>
      <c r="R60" s="7"/>
      <c r="S60" s="4"/>
      <c r="T60" s="4"/>
      <c r="U60" s="4"/>
      <c r="V60" s="154"/>
      <c r="HU60"/>
      <c r="HV60"/>
      <c r="HW60"/>
      <c r="HX60"/>
    </row>
    <row r="61" spans="1:232" s="87" customFormat="1" ht="73" customHeight="1" x14ac:dyDescent="0.45">
      <c r="A61" s="155"/>
      <c r="B61" s="155"/>
      <c r="C61" s="155"/>
      <c r="D61" s="60" t="s">
        <v>435</v>
      </c>
      <c r="E61" s="7" t="s">
        <v>38</v>
      </c>
      <c r="F61" s="7" t="s">
        <v>472</v>
      </c>
      <c r="G61" s="7">
        <v>8</v>
      </c>
      <c r="H61" s="7" t="s">
        <v>329</v>
      </c>
      <c r="I61" s="7">
        <v>3</v>
      </c>
      <c r="J61" s="155"/>
      <c r="K61" s="7">
        <v>4</v>
      </c>
      <c r="L61" s="7">
        <f t="shared" si="5"/>
        <v>96</v>
      </c>
      <c r="M61" s="155"/>
      <c r="N61" s="155"/>
      <c r="O61" s="182"/>
      <c r="P61" s="155"/>
      <c r="Q61" s="155"/>
      <c r="R61" s="7">
        <v>8</v>
      </c>
      <c r="S61" s="4">
        <v>1</v>
      </c>
      <c r="T61" s="4">
        <v>4</v>
      </c>
      <c r="U61" s="4">
        <v>32</v>
      </c>
      <c r="V61" s="154"/>
      <c r="HF61"/>
      <c r="HG61"/>
      <c r="HH61"/>
      <c r="HI61"/>
    </row>
    <row r="62" spans="1:232" s="87" customFormat="1" ht="70" customHeight="1" x14ac:dyDescent="0.45">
      <c r="A62" s="155"/>
      <c r="B62" s="155" t="s">
        <v>444</v>
      </c>
      <c r="C62" s="155"/>
      <c r="D62" s="60" t="s">
        <v>445</v>
      </c>
      <c r="E62" s="7" t="s">
        <v>38</v>
      </c>
      <c r="F62" s="7" t="s">
        <v>388</v>
      </c>
      <c r="G62" s="7">
        <v>5</v>
      </c>
      <c r="H62" s="7" t="s">
        <v>329</v>
      </c>
      <c r="I62" s="7">
        <v>3</v>
      </c>
      <c r="J62" s="155"/>
      <c r="K62" s="7">
        <v>4</v>
      </c>
      <c r="L62" s="7">
        <f t="shared" si="5"/>
        <v>60</v>
      </c>
      <c r="M62" s="155"/>
      <c r="N62" s="155"/>
      <c r="O62" s="182"/>
      <c r="P62" s="155"/>
      <c r="Q62" s="155"/>
      <c r="R62" s="7"/>
      <c r="S62" s="4"/>
      <c r="T62" s="4"/>
      <c r="U62" s="4"/>
      <c r="V62" s="154"/>
      <c r="HU62"/>
      <c r="HV62"/>
      <c r="HW62"/>
      <c r="HX62"/>
    </row>
    <row r="63" spans="1:232" s="87" customFormat="1" ht="59.05" customHeight="1" x14ac:dyDescent="0.45">
      <c r="A63" s="155" t="s">
        <v>473</v>
      </c>
      <c r="B63" s="156" t="s">
        <v>474</v>
      </c>
      <c r="C63" s="156"/>
      <c r="D63" s="60" t="s">
        <v>166</v>
      </c>
      <c r="E63" s="7" t="s">
        <v>38</v>
      </c>
      <c r="F63" s="7" t="s">
        <v>475</v>
      </c>
      <c r="G63" s="7">
        <v>5</v>
      </c>
      <c r="H63" s="7" t="s">
        <v>329</v>
      </c>
      <c r="I63" s="7">
        <v>4</v>
      </c>
      <c r="J63" s="160" t="s">
        <v>476</v>
      </c>
      <c r="K63" s="7">
        <v>4</v>
      </c>
      <c r="L63" s="7">
        <f t="shared" si="5"/>
        <v>80</v>
      </c>
      <c r="M63" s="155" t="s">
        <v>431</v>
      </c>
      <c r="N63" s="155" t="s">
        <v>432</v>
      </c>
      <c r="O63" s="155" t="s">
        <v>350</v>
      </c>
      <c r="P63" s="155" t="s">
        <v>450</v>
      </c>
      <c r="Q63" s="155"/>
      <c r="R63" s="93"/>
      <c r="S63" s="93"/>
      <c r="T63" s="93"/>
      <c r="U63" s="93"/>
      <c r="V63" s="154"/>
      <c r="HU63"/>
      <c r="HV63"/>
      <c r="HW63"/>
      <c r="HX63"/>
    </row>
    <row r="64" spans="1:232" s="87" customFormat="1" ht="59.05" customHeight="1" x14ac:dyDescent="0.45">
      <c r="A64" s="155"/>
      <c r="B64" s="155" t="s">
        <v>477</v>
      </c>
      <c r="C64" s="155"/>
      <c r="D64" s="60" t="s">
        <v>478</v>
      </c>
      <c r="E64" s="7" t="s">
        <v>38</v>
      </c>
      <c r="F64" s="7" t="s">
        <v>475</v>
      </c>
      <c r="G64" s="7">
        <v>5</v>
      </c>
      <c r="H64" s="7" t="s">
        <v>329</v>
      </c>
      <c r="I64" s="7">
        <v>4</v>
      </c>
      <c r="J64" s="160"/>
      <c r="K64" s="7">
        <v>4</v>
      </c>
      <c r="L64" s="7">
        <f t="shared" si="5"/>
        <v>80</v>
      </c>
      <c r="M64" s="155"/>
      <c r="N64" s="155"/>
      <c r="O64" s="155"/>
      <c r="P64" s="155"/>
      <c r="Q64" s="155"/>
      <c r="R64" s="93"/>
      <c r="S64" s="93"/>
      <c r="T64" s="93"/>
      <c r="U64" s="93"/>
      <c r="V64" s="154"/>
      <c r="HU64"/>
      <c r="HV64"/>
      <c r="HW64"/>
      <c r="HX64"/>
    </row>
    <row r="65" spans="1:232" s="87" customFormat="1" ht="59.05" customHeight="1" x14ac:dyDescent="0.45">
      <c r="A65" s="155"/>
      <c r="B65" s="155"/>
      <c r="C65" s="155"/>
      <c r="D65" s="60" t="s">
        <v>479</v>
      </c>
      <c r="E65" s="7" t="s">
        <v>38</v>
      </c>
      <c r="F65" s="7" t="s">
        <v>480</v>
      </c>
      <c r="G65" s="7">
        <v>8</v>
      </c>
      <c r="H65" s="7" t="s">
        <v>329</v>
      </c>
      <c r="I65" s="7">
        <v>4</v>
      </c>
      <c r="J65" s="160"/>
      <c r="K65" s="7">
        <v>4</v>
      </c>
      <c r="L65" s="7">
        <f t="shared" si="5"/>
        <v>128</v>
      </c>
      <c r="M65" s="155"/>
      <c r="N65" s="155"/>
      <c r="O65" s="155"/>
      <c r="P65" s="155"/>
      <c r="Q65" s="155"/>
      <c r="R65" s="4">
        <v>8</v>
      </c>
      <c r="S65" s="4">
        <v>1</v>
      </c>
      <c r="T65" s="4">
        <v>4</v>
      </c>
      <c r="U65" s="4">
        <f>R65*S65*T65</f>
        <v>32</v>
      </c>
      <c r="V65" s="154"/>
      <c r="HU65"/>
      <c r="HV65"/>
      <c r="HW65"/>
      <c r="HX65"/>
    </row>
    <row r="66" spans="1:232" s="87" customFormat="1" ht="59.05" customHeight="1" x14ac:dyDescent="0.45">
      <c r="A66" s="155"/>
      <c r="B66" s="155" t="s">
        <v>481</v>
      </c>
      <c r="C66" s="155"/>
      <c r="D66" s="60" t="s">
        <v>482</v>
      </c>
      <c r="E66" s="7" t="s">
        <v>38</v>
      </c>
      <c r="F66" s="7" t="s">
        <v>483</v>
      </c>
      <c r="G66" s="7">
        <v>6</v>
      </c>
      <c r="H66" s="7" t="s">
        <v>484</v>
      </c>
      <c r="I66" s="7">
        <v>4</v>
      </c>
      <c r="J66" s="160"/>
      <c r="K66" s="7">
        <v>4</v>
      </c>
      <c r="L66" s="7">
        <f t="shared" si="5"/>
        <v>96</v>
      </c>
      <c r="M66" s="155"/>
      <c r="N66" s="155"/>
      <c r="O66" s="155"/>
      <c r="P66" s="155"/>
      <c r="Q66" s="155"/>
      <c r="R66" s="93"/>
      <c r="S66" s="93"/>
      <c r="T66" s="93"/>
      <c r="U66" s="93"/>
      <c r="V66" s="154"/>
      <c r="HU66"/>
      <c r="HV66"/>
      <c r="HW66"/>
      <c r="HX66"/>
    </row>
    <row r="67" spans="1:232" s="87" customFormat="1" ht="61" customHeight="1" x14ac:dyDescent="0.45">
      <c r="A67" s="155" t="s">
        <v>485</v>
      </c>
      <c r="B67" s="156" t="s">
        <v>474</v>
      </c>
      <c r="C67" s="156"/>
      <c r="D67" s="60" t="s">
        <v>166</v>
      </c>
      <c r="E67" s="7" t="s">
        <v>38</v>
      </c>
      <c r="F67" s="7" t="s">
        <v>475</v>
      </c>
      <c r="G67" s="7">
        <v>5</v>
      </c>
      <c r="H67" s="7" t="s">
        <v>329</v>
      </c>
      <c r="I67" s="7">
        <v>4</v>
      </c>
      <c r="J67" s="160" t="s">
        <v>486</v>
      </c>
      <c r="K67" s="7">
        <v>4</v>
      </c>
      <c r="L67" s="7">
        <f t="shared" si="5"/>
        <v>80</v>
      </c>
      <c r="M67" s="155" t="s">
        <v>431</v>
      </c>
      <c r="N67" s="155" t="s">
        <v>432</v>
      </c>
      <c r="O67" s="155" t="s">
        <v>350</v>
      </c>
      <c r="P67" s="155" t="s">
        <v>450</v>
      </c>
      <c r="Q67" s="155"/>
      <c r="R67" s="93" t="s">
        <v>487</v>
      </c>
      <c r="S67" s="93"/>
      <c r="T67" s="93"/>
      <c r="U67" s="93"/>
      <c r="V67" s="154"/>
      <c r="HU67"/>
      <c r="HV67"/>
      <c r="HW67"/>
      <c r="HX67"/>
    </row>
    <row r="68" spans="1:232" s="87" customFormat="1" ht="61" customHeight="1" x14ac:dyDescent="0.45">
      <c r="A68" s="155"/>
      <c r="B68" s="155" t="s">
        <v>477</v>
      </c>
      <c r="C68" s="155"/>
      <c r="D68" s="60" t="s">
        <v>478</v>
      </c>
      <c r="E68" s="7" t="s">
        <v>38</v>
      </c>
      <c r="F68" s="7" t="s">
        <v>475</v>
      </c>
      <c r="G68" s="7">
        <v>5</v>
      </c>
      <c r="H68" s="7" t="s">
        <v>329</v>
      </c>
      <c r="I68" s="7">
        <v>4</v>
      </c>
      <c r="J68" s="160"/>
      <c r="K68" s="7">
        <v>4</v>
      </c>
      <c r="L68" s="7">
        <f t="shared" si="5"/>
        <v>80</v>
      </c>
      <c r="M68" s="155"/>
      <c r="N68" s="155"/>
      <c r="O68" s="155"/>
      <c r="P68" s="155"/>
      <c r="Q68" s="155"/>
      <c r="R68" s="93"/>
      <c r="S68" s="93"/>
      <c r="T68" s="93"/>
      <c r="U68" s="93"/>
      <c r="V68" s="154"/>
      <c r="HU68"/>
      <c r="HV68"/>
      <c r="HW68"/>
      <c r="HX68"/>
    </row>
    <row r="69" spans="1:232" s="87" customFormat="1" ht="61" customHeight="1" x14ac:dyDescent="0.45">
      <c r="A69" s="155"/>
      <c r="B69" s="155"/>
      <c r="C69" s="155"/>
      <c r="D69" s="60" t="s">
        <v>479</v>
      </c>
      <c r="E69" s="7" t="s">
        <v>38</v>
      </c>
      <c r="F69" s="7" t="s">
        <v>480</v>
      </c>
      <c r="G69" s="7">
        <v>8</v>
      </c>
      <c r="H69" s="7" t="s">
        <v>329</v>
      </c>
      <c r="I69" s="7">
        <v>4</v>
      </c>
      <c r="J69" s="160"/>
      <c r="K69" s="7">
        <v>4</v>
      </c>
      <c r="L69" s="7">
        <f t="shared" si="5"/>
        <v>128</v>
      </c>
      <c r="M69" s="155"/>
      <c r="N69" s="155"/>
      <c r="O69" s="155"/>
      <c r="P69" s="155"/>
      <c r="Q69" s="155"/>
      <c r="R69" s="4">
        <v>8</v>
      </c>
      <c r="S69" s="4">
        <v>1</v>
      </c>
      <c r="T69" s="4">
        <v>4</v>
      </c>
      <c r="U69" s="4">
        <f>R69*S69*T69</f>
        <v>32</v>
      </c>
      <c r="V69" s="154"/>
      <c r="HU69"/>
      <c r="HV69"/>
      <c r="HW69"/>
      <c r="HX69"/>
    </row>
    <row r="70" spans="1:232" s="87" customFormat="1" ht="61" customHeight="1" x14ac:dyDescent="0.45">
      <c r="A70" s="155"/>
      <c r="B70" s="155" t="s">
        <v>481</v>
      </c>
      <c r="C70" s="155"/>
      <c r="D70" s="60" t="s">
        <v>482</v>
      </c>
      <c r="E70" s="7" t="s">
        <v>38</v>
      </c>
      <c r="F70" s="7" t="s">
        <v>483</v>
      </c>
      <c r="G70" s="7">
        <v>6</v>
      </c>
      <c r="H70" s="7" t="s">
        <v>484</v>
      </c>
      <c r="I70" s="7">
        <v>4</v>
      </c>
      <c r="J70" s="160"/>
      <c r="K70" s="7">
        <v>4</v>
      </c>
      <c r="L70" s="7">
        <f t="shared" si="5"/>
        <v>96</v>
      </c>
      <c r="M70" s="155"/>
      <c r="N70" s="155"/>
      <c r="O70" s="155"/>
      <c r="P70" s="155"/>
      <c r="Q70" s="155"/>
      <c r="R70" s="93"/>
      <c r="S70" s="93"/>
      <c r="T70" s="93"/>
      <c r="U70" s="93"/>
      <c r="V70" s="154"/>
      <c r="HU70"/>
      <c r="HV70"/>
      <c r="HW70"/>
      <c r="HX70"/>
    </row>
    <row r="71" spans="1:232" s="87" customFormat="1" ht="71.05" customHeight="1" x14ac:dyDescent="0.45">
      <c r="A71" s="7" t="s">
        <v>488</v>
      </c>
      <c r="B71" s="155" t="s">
        <v>290</v>
      </c>
      <c r="C71" s="155"/>
      <c r="D71" s="60" t="s">
        <v>489</v>
      </c>
      <c r="E71" s="7" t="s">
        <v>38</v>
      </c>
      <c r="F71" s="7" t="s">
        <v>475</v>
      </c>
      <c r="G71" s="7">
        <v>2</v>
      </c>
      <c r="H71" s="7" t="s">
        <v>70</v>
      </c>
      <c r="I71" s="7">
        <v>4</v>
      </c>
      <c r="J71" s="60" t="s">
        <v>490</v>
      </c>
      <c r="K71" s="7">
        <v>4</v>
      </c>
      <c r="L71" s="7">
        <f t="shared" si="5"/>
        <v>32</v>
      </c>
      <c r="M71" s="7" t="s">
        <v>331</v>
      </c>
      <c r="N71" s="7"/>
      <c r="O71" s="7"/>
      <c r="P71" s="157"/>
      <c r="Q71" s="158"/>
      <c r="R71" s="93"/>
      <c r="S71" s="93"/>
      <c r="T71" s="93"/>
      <c r="U71" s="93"/>
      <c r="V71" s="4"/>
      <c r="HU71"/>
      <c r="HV71"/>
      <c r="HW71"/>
      <c r="HX71"/>
    </row>
    <row r="72" spans="1:232" s="87" customFormat="1" ht="61" customHeight="1" x14ac:dyDescent="0.45">
      <c r="A72" s="155" t="s">
        <v>491</v>
      </c>
      <c r="B72" s="155" t="s">
        <v>428</v>
      </c>
      <c r="C72" s="155"/>
      <c r="D72" s="60" t="s">
        <v>429</v>
      </c>
      <c r="E72" s="7" t="s">
        <v>38</v>
      </c>
      <c r="F72" s="7" t="s">
        <v>388</v>
      </c>
      <c r="G72" s="7">
        <v>6</v>
      </c>
      <c r="H72" s="7" t="s">
        <v>329</v>
      </c>
      <c r="I72" s="7">
        <v>3</v>
      </c>
      <c r="J72" s="165" t="s">
        <v>430</v>
      </c>
      <c r="K72" s="7">
        <v>4</v>
      </c>
      <c r="L72" s="7">
        <f t="shared" si="5"/>
        <v>72</v>
      </c>
      <c r="M72" s="165" t="s">
        <v>431</v>
      </c>
      <c r="N72" s="165" t="s">
        <v>432</v>
      </c>
      <c r="O72" s="165" t="s">
        <v>350</v>
      </c>
      <c r="P72" s="183" t="s">
        <v>433</v>
      </c>
      <c r="Q72" s="184"/>
      <c r="R72" s="93"/>
      <c r="S72" s="93"/>
      <c r="T72" s="93"/>
      <c r="U72" s="93"/>
      <c r="V72" s="163"/>
      <c r="HU72"/>
      <c r="HV72"/>
      <c r="HW72"/>
      <c r="HX72"/>
    </row>
    <row r="73" spans="1:232" s="87" customFormat="1" ht="61" customHeight="1" x14ac:dyDescent="0.45">
      <c r="A73" s="155"/>
      <c r="B73" s="155" t="s">
        <v>434</v>
      </c>
      <c r="C73" s="155"/>
      <c r="D73" s="60" t="s">
        <v>435</v>
      </c>
      <c r="E73" s="7" t="s">
        <v>38</v>
      </c>
      <c r="F73" s="7" t="s">
        <v>436</v>
      </c>
      <c r="G73" s="7">
        <v>8</v>
      </c>
      <c r="H73" s="7" t="s">
        <v>329</v>
      </c>
      <c r="I73" s="7">
        <v>3</v>
      </c>
      <c r="J73" s="166"/>
      <c r="K73" s="7">
        <v>4</v>
      </c>
      <c r="L73" s="7">
        <f t="shared" si="5"/>
        <v>96</v>
      </c>
      <c r="M73" s="166"/>
      <c r="N73" s="166"/>
      <c r="O73" s="166"/>
      <c r="P73" s="185"/>
      <c r="Q73" s="186"/>
      <c r="R73" s="7">
        <v>8</v>
      </c>
      <c r="S73" s="4">
        <v>1</v>
      </c>
      <c r="T73" s="4">
        <v>4</v>
      </c>
      <c r="U73" s="4">
        <f>R73*S73*T73</f>
        <v>32</v>
      </c>
      <c r="V73" s="180"/>
      <c r="HU73"/>
      <c r="HV73"/>
      <c r="HW73"/>
      <c r="HX73"/>
    </row>
    <row r="74" spans="1:232" s="87" customFormat="1" ht="61" customHeight="1" x14ac:dyDescent="0.45">
      <c r="A74" s="155"/>
      <c r="B74" s="155" t="s">
        <v>492</v>
      </c>
      <c r="C74" s="155"/>
      <c r="D74" s="60" t="s">
        <v>493</v>
      </c>
      <c r="E74" s="7" t="s">
        <v>38</v>
      </c>
      <c r="F74" s="7" t="s">
        <v>388</v>
      </c>
      <c r="G74" s="7">
        <v>5</v>
      </c>
      <c r="H74" s="7" t="s">
        <v>70</v>
      </c>
      <c r="I74" s="7">
        <v>2</v>
      </c>
      <c r="J74" s="167"/>
      <c r="K74" s="7">
        <v>4</v>
      </c>
      <c r="L74" s="7">
        <f t="shared" si="5"/>
        <v>40</v>
      </c>
      <c r="M74" s="167"/>
      <c r="N74" s="167"/>
      <c r="O74" s="167"/>
      <c r="P74" s="187"/>
      <c r="Q74" s="188"/>
      <c r="R74" s="93"/>
      <c r="S74" s="93"/>
      <c r="T74" s="93"/>
      <c r="U74" s="93"/>
      <c r="V74" s="164"/>
      <c r="HU74"/>
      <c r="HV74"/>
      <c r="HW74"/>
      <c r="HX74"/>
    </row>
    <row r="75" spans="1:232" s="87" customFormat="1" ht="61" customHeight="1" x14ac:dyDescent="0.45">
      <c r="A75" s="160" t="s">
        <v>494</v>
      </c>
      <c r="B75" s="156" t="s">
        <v>125</v>
      </c>
      <c r="C75" s="156"/>
      <c r="D75" s="60" t="s">
        <v>495</v>
      </c>
      <c r="E75" s="99" t="s">
        <v>30</v>
      </c>
      <c r="F75" s="7" t="s">
        <v>496</v>
      </c>
      <c r="G75" s="7">
        <v>3</v>
      </c>
      <c r="H75" s="165" t="s">
        <v>497</v>
      </c>
      <c r="I75" s="7">
        <v>4</v>
      </c>
      <c r="J75" s="160" t="s">
        <v>498</v>
      </c>
      <c r="K75" s="7">
        <v>8</v>
      </c>
      <c r="L75" s="7">
        <f t="shared" si="5"/>
        <v>96</v>
      </c>
      <c r="M75" s="166" t="s">
        <v>331</v>
      </c>
      <c r="N75" s="106"/>
      <c r="O75" s="106"/>
      <c r="P75" s="107"/>
      <c r="Q75" s="108"/>
      <c r="R75" s="93"/>
      <c r="S75" s="93"/>
      <c r="T75" s="93"/>
      <c r="U75" s="93"/>
      <c r="V75" s="92"/>
      <c r="HU75"/>
      <c r="HV75"/>
      <c r="HW75"/>
      <c r="HX75"/>
    </row>
    <row r="76" spans="1:232" s="87" customFormat="1" ht="61" customHeight="1" x14ac:dyDescent="0.45">
      <c r="A76" s="160"/>
      <c r="B76" s="156"/>
      <c r="C76" s="156"/>
      <c r="D76" s="60" t="s">
        <v>499</v>
      </c>
      <c r="E76" s="99" t="s">
        <v>30</v>
      </c>
      <c r="F76" s="7" t="s">
        <v>496</v>
      </c>
      <c r="G76" s="7">
        <v>3</v>
      </c>
      <c r="H76" s="166"/>
      <c r="I76" s="7">
        <v>4</v>
      </c>
      <c r="J76" s="160"/>
      <c r="K76" s="7">
        <v>8</v>
      </c>
      <c r="L76" s="7">
        <f t="shared" si="5"/>
        <v>96</v>
      </c>
      <c r="M76" s="166"/>
      <c r="N76" s="106"/>
      <c r="O76" s="106"/>
      <c r="P76" s="107"/>
      <c r="Q76" s="108"/>
      <c r="R76" s="93"/>
      <c r="S76" s="93"/>
      <c r="T76" s="93"/>
      <c r="U76" s="93"/>
      <c r="V76" s="92"/>
      <c r="HU76"/>
      <c r="HV76"/>
      <c r="HW76"/>
      <c r="HX76"/>
    </row>
    <row r="77" spans="1:232" s="87" customFormat="1" ht="61" customHeight="1" x14ac:dyDescent="0.45">
      <c r="A77" s="160"/>
      <c r="B77" s="156"/>
      <c r="C77" s="156"/>
      <c r="D77" s="60" t="s">
        <v>500</v>
      </c>
      <c r="E77" s="99" t="s">
        <v>30</v>
      </c>
      <c r="F77" s="7" t="s">
        <v>496</v>
      </c>
      <c r="G77" s="7">
        <v>3</v>
      </c>
      <c r="H77" s="166"/>
      <c r="I77" s="7">
        <v>4</v>
      </c>
      <c r="J77" s="160"/>
      <c r="K77" s="7">
        <v>8</v>
      </c>
      <c r="L77" s="7">
        <f t="shared" si="5"/>
        <v>96</v>
      </c>
      <c r="M77" s="167"/>
      <c r="N77" s="106"/>
      <c r="O77" s="106"/>
      <c r="P77" s="107"/>
      <c r="Q77" s="108"/>
      <c r="R77" s="93"/>
      <c r="S77" s="93"/>
      <c r="T77" s="93"/>
      <c r="U77" s="93"/>
      <c r="V77" s="92"/>
      <c r="HU77"/>
      <c r="HV77"/>
      <c r="HW77"/>
      <c r="HX77"/>
    </row>
    <row r="78" spans="1:232" s="87" customFormat="1" ht="60" customHeight="1" x14ac:dyDescent="0.45">
      <c r="A78" s="160" t="s">
        <v>501</v>
      </c>
      <c r="B78" s="156" t="s">
        <v>125</v>
      </c>
      <c r="C78" s="156"/>
      <c r="D78" s="60" t="s">
        <v>495</v>
      </c>
      <c r="E78" s="99" t="s">
        <v>30</v>
      </c>
      <c r="F78" s="7" t="s">
        <v>496</v>
      </c>
      <c r="G78" s="7">
        <v>3</v>
      </c>
      <c r="H78" s="165" t="s">
        <v>497</v>
      </c>
      <c r="I78" s="7">
        <v>4</v>
      </c>
      <c r="J78" s="160" t="s">
        <v>498</v>
      </c>
      <c r="K78" s="7">
        <v>8</v>
      </c>
      <c r="L78" s="7">
        <f t="shared" si="5"/>
        <v>96</v>
      </c>
      <c r="M78" s="166" t="s">
        <v>331</v>
      </c>
      <c r="N78" s="106"/>
      <c r="O78" s="106"/>
      <c r="P78" s="107"/>
      <c r="Q78" s="108"/>
      <c r="R78" s="93"/>
      <c r="S78" s="93"/>
      <c r="T78" s="93"/>
      <c r="U78" s="93"/>
      <c r="V78" s="92"/>
      <c r="HU78"/>
      <c r="HV78"/>
      <c r="HW78"/>
      <c r="HX78"/>
    </row>
    <row r="79" spans="1:232" s="87" customFormat="1" ht="60" customHeight="1" x14ac:dyDescent="0.45">
      <c r="A79" s="160"/>
      <c r="B79" s="156"/>
      <c r="C79" s="156"/>
      <c r="D79" s="60" t="s">
        <v>499</v>
      </c>
      <c r="E79" s="99" t="s">
        <v>30</v>
      </c>
      <c r="F79" s="7" t="s">
        <v>496</v>
      </c>
      <c r="G79" s="7">
        <v>3</v>
      </c>
      <c r="H79" s="166"/>
      <c r="I79" s="7">
        <v>4</v>
      </c>
      <c r="J79" s="160"/>
      <c r="K79" s="7">
        <v>8</v>
      </c>
      <c r="L79" s="7">
        <f t="shared" si="5"/>
        <v>96</v>
      </c>
      <c r="M79" s="166"/>
      <c r="N79" s="106"/>
      <c r="O79" s="106"/>
      <c r="P79" s="107"/>
      <c r="Q79" s="108"/>
      <c r="R79" s="93"/>
      <c r="S79" s="93"/>
      <c r="T79" s="93"/>
      <c r="U79" s="93"/>
      <c r="V79" s="92"/>
      <c r="HU79"/>
      <c r="HV79"/>
      <c r="HW79"/>
      <c r="HX79"/>
    </row>
    <row r="80" spans="1:232" s="87" customFormat="1" ht="60" customHeight="1" x14ac:dyDescent="0.45">
      <c r="A80" s="160"/>
      <c r="B80" s="156"/>
      <c r="C80" s="156"/>
      <c r="D80" s="60" t="s">
        <v>500</v>
      </c>
      <c r="E80" s="99" t="s">
        <v>30</v>
      </c>
      <c r="F80" s="7" t="s">
        <v>496</v>
      </c>
      <c r="G80" s="7">
        <v>3</v>
      </c>
      <c r="H80" s="166"/>
      <c r="I80" s="7">
        <v>4</v>
      </c>
      <c r="J80" s="160"/>
      <c r="K80" s="7">
        <v>8</v>
      </c>
      <c r="L80" s="7">
        <f t="shared" si="5"/>
        <v>96</v>
      </c>
      <c r="M80" s="167"/>
      <c r="N80" s="106"/>
      <c r="O80" s="106"/>
      <c r="P80" s="107"/>
      <c r="Q80" s="108"/>
      <c r="R80" s="93"/>
      <c r="S80" s="93"/>
      <c r="T80" s="93"/>
      <c r="U80" s="93"/>
      <c r="V80" s="92"/>
      <c r="HU80"/>
      <c r="HV80"/>
      <c r="HW80"/>
      <c r="HX80"/>
    </row>
    <row r="81" spans="1:232" s="87" customFormat="1" ht="61" customHeight="1" x14ac:dyDescent="0.45">
      <c r="A81" s="160" t="s">
        <v>502</v>
      </c>
      <c r="B81" s="156" t="s">
        <v>125</v>
      </c>
      <c r="C81" s="156"/>
      <c r="D81" s="60" t="s">
        <v>495</v>
      </c>
      <c r="E81" s="99" t="s">
        <v>30</v>
      </c>
      <c r="F81" s="7" t="s">
        <v>496</v>
      </c>
      <c r="G81" s="7">
        <v>3</v>
      </c>
      <c r="H81" s="165" t="s">
        <v>497</v>
      </c>
      <c r="I81" s="7">
        <v>4</v>
      </c>
      <c r="J81" s="160" t="s">
        <v>498</v>
      </c>
      <c r="K81" s="7">
        <v>8</v>
      </c>
      <c r="L81" s="7">
        <f t="shared" si="5"/>
        <v>96</v>
      </c>
      <c r="M81" s="166" t="s">
        <v>331</v>
      </c>
      <c r="N81" s="106"/>
      <c r="O81" s="106"/>
      <c r="P81" s="107"/>
      <c r="Q81" s="108"/>
      <c r="R81" s="93"/>
      <c r="S81" s="93"/>
      <c r="T81" s="93"/>
      <c r="U81" s="93"/>
      <c r="V81" s="92"/>
      <c r="HU81"/>
      <c r="HV81"/>
      <c r="HW81"/>
      <c r="HX81"/>
    </row>
    <row r="82" spans="1:232" s="87" customFormat="1" ht="61" customHeight="1" x14ac:dyDescent="0.45">
      <c r="A82" s="160"/>
      <c r="B82" s="156"/>
      <c r="C82" s="156"/>
      <c r="D82" s="60" t="s">
        <v>499</v>
      </c>
      <c r="E82" s="99" t="s">
        <v>30</v>
      </c>
      <c r="F82" s="7" t="s">
        <v>496</v>
      </c>
      <c r="G82" s="7">
        <v>3</v>
      </c>
      <c r="H82" s="166"/>
      <c r="I82" s="7">
        <v>4</v>
      </c>
      <c r="J82" s="160"/>
      <c r="K82" s="7">
        <v>8</v>
      </c>
      <c r="L82" s="7">
        <f t="shared" si="5"/>
        <v>96</v>
      </c>
      <c r="M82" s="166"/>
      <c r="N82" s="106"/>
      <c r="O82" s="106"/>
      <c r="P82" s="107"/>
      <c r="Q82" s="108"/>
      <c r="R82" s="93"/>
      <c r="S82" s="93"/>
      <c r="T82" s="93"/>
      <c r="U82" s="93"/>
      <c r="V82" s="92"/>
      <c r="HU82"/>
      <c r="HV82"/>
      <c r="HW82"/>
      <c r="HX82"/>
    </row>
    <row r="83" spans="1:232" s="87" customFormat="1" ht="61" customHeight="1" x14ac:dyDescent="0.45">
      <c r="A83" s="160"/>
      <c r="B83" s="156"/>
      <c r="C83" s="156"/>
      <c r="D83" s="60" t="s">
        <v>500</v>
      </c>
      <c r="E83" s="99" t="s">
        <v>30</v>
      </c>
      <c r="F83" s="7" t="s">
        <v>496</v>
      </c>
      <c r="G83" s="7">
        <v>3</v>
      </c>
      <c r="H83" s="166"/>
      <c r="I83" s="7">
        <v>4</v>
      </c>
      <c r="J83" s="160"/>
      <c r="K83" s="7">
        <v>8</v>
      </c>
      <c r="L83" s="7">
        <f t="shared" si="5"/>
        <v>96</v>
      </c>
      <c r="M83" s="167"/>
      <c r="N83" s="106"/>
      <c r="O83" s="106"/>
      <c r="P83" s="107"/>
      <c r="Q83" s="108"/>
      <c r="R83" s="93"/>
      <c r="S83" s="93"/>
      <c r="T83" s="93"/>
      <c r="U83" s="93"/>
      <c r="V83" s="92"/>
      <c r="HU83"/>
      <c r="HV83"/>
      <c r="HW83"/>
      <c r="HX83"/>
    </row>
    <row r="84" spans="1:232" s="88" customFormat="1" ht="65.05" customHeight="1" x14ac:dyDescent="0.45">
      <c r="A84" s="7" t="s">
        <v>503</v>
      </c>
      <c r="B84" s="155" t="s">
        <v>504</v>
      </c>
      <c r="C84" s="155"/>
      <c r="D84" s="7" t="s">
        <v>505</v>
      </c>
      <c r="E84" s="7" t="s">
        <v>38</v>
      </c>
      <c r="F84" s="7" t="s">
        <v>506</v>
      </c>
      <c r="G84" s="7">
        <v>4</v>
      </c>
      <c r="H84" s="7" t="s">
        <v>507</v>
      </c>
      <c r="I84" s="7">
        <v>3</v>
      </c>
      <c r="J84" s="98" t="s">
        <v>508</v>
      </c>
      <c r="K84" s="7">
        <v>4</v>
      </c>
      <c r="L84" s="7">
        <f t="shared" ref="L84:L92" si="6">G84*I84*K84</f>
        <v>48</v>
      </c>
      <c r="M84" s="7" t="s">
        <v>331</v>
      </c>
      <c r="N84" s="46"/>
      <c r="O84" s="46"/>
      <c r="P84" s="155"/>
      <c r="Q84" s="155"/>
      <c r="R84" s="7"/>
      <c r="S84" s="7"/>
      <c r="T84" s="7"/>
      <c r="U84" s="7"/>
      <c r="V84" s="98"/>
    </row>
    <row r="85" spans="1:232" s="88" customFormat="1" ht="65.05" customHeight="1" x14ac:dyDescent="0.45">
      <c r="A85" s="155" t="s">
        <v>509</v>
      </c>
      <c r="B85" s="156" t="s">
        <v>510</v>
      </c>
      <c r="C85" s="156"/>
      <c r="D85" s="155" t="s">
        <v>511</v>
      </c>
      <c r="E85" s="7" t="s">
        <v>30</v>
      </c>
      <c r="F85" s="7" t="s">
        <v>512</v>
      </c>
      <c r="G85" s="7">
        <v>7</v>
      </c>
      <c r="H85" s="155" t="s">
        <v>338</v>
      </c>
      <c r="I85" s="7">
        <v>3</v>
      </c>
      <c r="J85" s="160" t="s">
        <v>513</v>
      </c>
      <c r="K85" s="7">
        <v>4</v>
      </c>
      <c r="L85" s="7">
        <f t="shared" si="6"/>
        <v>84</v>
      </c>
      <c r="M85" s="155" t="s">
        <v>331</v>
      </c>
      <c r="N85" s="154" t="s">
        <v>349</v>
      </c>
      <c r="O85" s="155" t="s">
        <v>514</v>
      </c>
      <c r="P85" s="155" t="s">
        <v>515</v>
      </c>
      <c r="Q85" s="155"/>
      <c r="R85" s="4">
        <v>7</v>
      </c>
      <c r="S85" s="4">
        <v>2</v>
      </c>
      <c r="T85" s="4">
        <v>4</v>
      </c>
      <c r="U85" s="4">
        <f t="shared" ref="U85:U88" si="7">R85*S85*T85</f>
        <v>56</v>
      </c>
      <c r="V85" s="93"/>
    </row>
    <row r="86" spans="1:232" s="88" customFormat="1" ht="93" customHeight="1" x14ac:dyDescent="0.45">
      <c r="A86" s="155"/>
      <c r="B86" s="156"/>
      <c r="C86" s="156"/>
      <c r="D86" s="155"/>
      <c r="E86" s="7" t="s">
        <v>38</v>
      </c>
      <c r="F86" s="7" t="s">
        <v>516</v>
      </c>
      <c r="G86" s="7">
        <v>7</v>
      </c>
      <c r="H86" s="155"/>
      <c r="I86" s="7">
        <v>3</v>
      </c>
      <c r="J86" s="160"/>
      <c r="K86" s="7">
        <v>4</v>
      </c>
      <c r="L86" s="7">
        <f t="shared" si="6"/>
        <v>84</v>
      </c>
      <c r="M86" s="155"/>
      <c r="N86" s="154"/>
      <c r="O86" s="155"/>
      <c r="P86" s="155"/>
      <c r="Q86" s="155"/>
      <c r="R86" s="4">
        <v>7</v>
      </c>
      <c r="S86" s="4">
        <v>2</v>
      </c>
      <c r="T86" s="4">
        <v>4</v>
      </c>
      <c r="U86" s="4">
        <f t="shared" si="7"/>
        <v>56</v>
      </c>
      <c r="V86" s="93"/>
    </row>
    <row r="87" spans="1:232" s="88" customFormat="1" ht="65.05" customHeight="1" x14ac:dyDescent="0.45">
      <c r="A87" s="155"/>
      <c r="B87" s="159" t="s">
        <v>517</v>
      </c>
      <c r="C87" s="159"/>
      <c r="D87" s="110" t="s">
        <v>518</v>
      </c>
      <c r="E87" s="111" t="s">
        <v>38</v>
      </c>
      <c r="F87" s="111" t="s">
        <v>413</v>
      </c>
      <c r="G87" s="7">
        <v>7</v>
      </c>
      <c r="H87" s="111" t="s">
        <v>329</v>
      </c>
      <c r="I87" s="111">
        <v>3</v>
      </c>
      <c r="J87" s="160"/>
      <c r="K87" s="7">
        <v>4</v>
      </c>
      <c r="L87" s="111">
        <f t="shared" si="6"/>
        <v>84</v>
      </c>
      <c r="M87" s="155"/>
      <c r="N87" s="109"/>
      <c r="O87" s="98"/>
      <c r="P87" s="155"/>
      <c r="Q87" s="155"/>
      <c r="R87" s="109"/>
      <c r="S87" s="109"/>
      <c r="T87" s="109"/>
      <c r="U87" s="109"/>
      <c r="V87" s="109"/>
    </row>
    <row r="88" spans="1:232" s="88" customFormat="1" ht="65.05" customHeight="1" x14ac:dyDescent="0.45">
      <c r="A88" s="155" t="s">
        <v>519</v>
      </c>
      <c r="B88" s="155" t="s">
        <v>428</v>
      </c>
      <c r="C88" s="155"/>
      <c r="D88" s="60" t="s">
        <v>429</v>
      </c>
      <c r="E88" s="7" t="s">
        <v>38</v>
      </c>
      <c r="F88" s="155" t="s">
        <v>448</v>
      </c>
      <c r="G88" s="7">
        <v>8</v>
      </c>
      <c r="H88" s="155" t="s">
        <v>182</v>
      </c>
      <c r="I88" s="7">
        <v>3</v>
      </c>
      <c r="J88" s="160" t="s">
        <v>520</v>
      </c>
      <c r="K88" s="7">
        <v>4</v>
      </c>
      <c r="L88" s="7">
        <f t="shared" si="6"/>
        <v>96</v>
      </c>
      <c r="M88" s="155" t="s">
        <v>431</v>
      </c>
      <c r="N88" s="155" t="s">
        <v>432</v>
      </c>
      <c r="O88" s="155" t="s">
        <v>350</v>
      </c>
      <c r="P88" s="155" t="s">
        <v>450</v>
      </c>
      <c r="Q88" s="155"/>
      <c r="R88" s="155">
        <v>8</v>
      </c>
      <c r="S88" s="155">
        <v>1</v>
      </c>
      <c r="T88" s="155">
        <v>4</v>
      </c>
      <c r="U88" s="155">
        <f t="shared" si="7"/>
        <v>32</v>
      </c>
      <c r="V88" s="154"/>
    </row>
    <row r="89" spans="1:232" s="88" customFormat="1" ht="65.05" customHeight="1" x14ac:dyDescent="0.45">
      <c r="A89" s="155"/>
      <c r="B89" s="155" t="s">
        <v>451</v>
      </c>
      <c r="C89" s="155"/>
      <c r="D89" s="60" t="s">
        <v>435</v>
      </c>
      <c r="E89" s="7" t="s">
        <v>38</v>
      </c>
      <c r="F89" s="155"/>
      <c r="G89" s="7">
        <v>8</v>
      </c>
      <c r="H89" s="155"/>
      <c r="I89" s="7">
        <v>3</v>
      </c>
      <c r="J89" s="160"/>
      <c r="K89" s="7">
        <v>4</v>
      </c>
      <c r="L89" s="7">
        <f t="shared" si="6"/>
        <v>96</v>
      </c>
      <c r="M89" s="155"/>
      <c r="N89" s="155"/>
      <c r="O89" s="155"/>
      <c r="P89" s="155"/>
      <c r="Q89" s="155"/>
      <c r="R89" s="155"/>
      <c r="S89" s="155"/>
      <c r="T89" s="155"/>
      <c r="U89" s="155"/>
      <c r="V89" s="154"/>
    </row>
    <row r="90" spans="1:232" s="88" customFormat="1" ht="65.05" customHeight="1" x14ac:dyDescent="0.45">
      <c r="A90" s="155"/>
      <c r="B90" s="155" t="s">
        <v>452</v>
      </c>
      <c r="C90" s="155"/>
      <c r="D90" s="60" t="s">
        <v>453</v>
      </c>
      <c r="E90" s="7" t="s">
        <v>38</v>
      </c>
      <c r="F90" s="155"/>
      <c r="G90" s="7">
        <v>8</v>
      </c>
      <c r="H90" s="155"/>
      <c r="I90" s="7">
        <v>3</v>
      </c>
      <c r="J90" s="160"/>
      <c r="K90" s="7">
        <v>4</v>
      </c>
      <c r="L90" s="7">
        <f t="shared" si="6"/>
        <v>96</v>
      </c>
      <c r="M90" s="155"/>
      <c r="N90" s="155"/>
      <c r="O90" s="155"/>
      <c r="P90" s="155"/>
      <c r="Q90" s="155"/>
      <c r="R90" s="155"/>
      <c r="S90" s="155"/>
      <c r="T90" s="155"/>
      <c r="U90" s="155"/>
      <c r="V90" s="154"/>
    </row>
    <row r="91" spans="1:232" s="88" customFormat="1" ht="65.05" customHeight="1" x14ac:dyDescent="0.45">
      <c r="A91" s="155"/>
      <c r="B91" s="155" t="s">
        <v>454</v>
      </c>
      <c r="C91" s="155"/>
      <c r="D91" s="60" t="s">
        <v>166</v>
      </c>
      <c r="E91" s="7" t="s">
        <v>38</v>
      </c>
      <c r="F91" s="155"/>
      <c r="G91" s="7">
        <v>8</v>
      </c>
      <c r="H91" s="155"/>
      <c r="I91" s="7">
        <v>3</v>
      </c>
      <c r="J91" s="160"/>
      <c r="K91" s="7">
        <v>4</v>
      </c>
      <c r="L91" s="7">
        <f t="shared" si="6"/>
        <v>96</v>
      </c>
      <c r="M91" s="155"/>
      <c r="N91" s="155"/>
      <c r="O91" s="155"/>
      <c r="P91" s="155"/>
      <c r="Q91" s="155"/>
      <c r="R91" s="155"/>
      <c r="S91" s="155"/>
      <c r="T91" s="155"/>
      <c r="U91" s="155"/>
      <c r="V91" s="154"/>
    </row>
    <row r="92" spans="1:232" s="88" customFormat="1" ht="65.05" customHeight="1" x14ac:dyDescent="0.45">
      <c r="A92" s="155"/>
      <c r="B92" s="155"/>
      <c r="C92" s="155"/>
      <c r="D92" s="98" t="s">
        <v>443</v>
      </c>
      <c r="E92" s="7" t="s">
        <v>38</v>
      </c>
      <c r="F92" s="155"/>
      <c r="G92" s="7">
        <v>8</v>
      </c>
      <c r="H92" s="155"/>
      <c r="I92" s="7">
        <v>3</v>
      </c>
      <c r="J92" s="160"/>
      <c r="K92" s="7">
        <v>4</v>
      </c>
      <c r="L92" s="7">
        <f t="shared" si="6"/>
        <v>96</v>
      </c>
      <c r="M92" s="155"/>
      <c r="N92" s="155"/>
      <c r="O92" s="155"/>
      <c r="P92" s="155"/>
      <c r="Q92" s="155"/>
      <c r="R92" s="155"/>
      <c r="S92" s="155"/>
      <c r="T92" s="155"/>
      <c r="U92" s="155"/>
      <c r="V92" s="154"/>
    </row>
    <row r="93" spans="1:232" s="88" customFormat="1" ht="65.05" customHeight="1" x14ac:dyDescent="0.45">
      <c r="A93" s="155" t="s">
        <v>521</v>
      </c>
      <c r="B93" s="155" t="s">
        <v>522</v>
      </c>
      <c r="C93" s="155"/>
      <c r="D93" s="155" t="s">
        <v>523</v>
      </c>
      <c r="E93" s="7" t="s">
        <v>30</v>
      </c>
      <c r="F93" s="7" t="s">
        <v>524</v>
      </c>
      <c r="G93" s="7">
        <v>4</v>
      </c>
      <c r="H93" s="155" t="s">
        <v>70</v>
      </c>
      <c r="I93" s="7">
        <v>2</v>
      </c>
      <c r="J93" s="160"/>
      <c r="K93" s="7">
        <v>4</v>
      </c>
      <c r="L93" s="7">
        <f t="shared" ref="L93:L111" si="8">G93*I93*K93</f>
        <v>32</v>
      </c>
      <c r="M93" s="155" t="s">
        <v>331</v>
      </c>
      <c r="N93" s="4"/>
      <c r="O93" s="182"/>
      <c r="P93" s="154"/>
      <c r="Q93" s="154"/>
      <c r="R93" s="93"/>
      <c r="S93" s="93"/>
      <c r="T93" s="93"/>
      <c r="U93" s="93"/>
      <c r="V93" s="93"/>
    </row>
    <row r="94" spans="1:232" s="88" customFormat="1" ht="65.05" customHeight="1" x14ac:dyDescent="0.45">
      <c r="A94" s="155"/>
      <c r="B94" s="155"/>
      <c r="C94" s="155"/>
      <c r="D94" s="155"/>
      <c r="E94" s="7" t="s">
        <v>38</v>
      </c>
      <c r="F94" s="7" t="s">
        <v>525</v>
      </c>
      <c r="G94" s="7">
        <v>7</v>
      </c>
      <c r="H94" s="155"/>
      <c r="I94" s="7">
        <v>2</v>
      </c>
      <c r="J94" s="160"/>
      <c r="K94" s="7">
        <v>4</v>
      </c>
      <c r="L94" s="7">
        <f t="shared" si="8"/>
        <v>56</v>
      </c>
      <c r="M94" s="155"/>
      <c r="N94" s="4"/>
      <c r="O94" s="182"/>
      <c r="P94" s="154"/>
      <c r="Q94" s="154"/>
      <c r="R94" s="93"/>
      <c r="S94" s="93"/>
      <c r="T94" s="93"/>
      <c r="U94" s="93"/>
      <c r="V94" s="93"/>
    </row>
    <row r="95" spans="1:232" s="88" customFormat="1" ht="48" customHeight="1" x14ac:dyDescent="0.45">
      <c r="A95" s="165" t="s">
        <v>526</v>
      </c>
      <c r="B95" s="157" t="s">
        <v>527</v>
      </c>
      <c r="C95" s="158"/>
      <c r="D95" s="60" t="s">
        <v>528</v>
      </c>
      <c r="E95" s="7" t="s">
        <v>30</v>
      </c>
      <c r="F95" s="7" t="s">
        <v>529</v>
      </c>
      <c r="G95" s="7">
        <v>3</v>
      </c>
      <c r="H95" s="7" t="s">
        <v>329</v>
      </c>
      <c r="I95" s="7">
        <v>3</v>
      </c>
      <c r="J95" s="165" t="s">
        <v>530</v>
      </c>
      <c r="K95" s="7">
        <v>4</v>
      </c>
      <c r="L95" s="7">
        <f t="shared" si="8"/>
        <v>36</v>
      </c>
      <c r="M95" s="165" t="s">
        <v>331</v>
      </c>
      <c r="N95" s="4"/>
      <c r="O95" s="30"/>
      <c r="P95" s="152"/>
      <c r="Q95" s="153"/>
      <c r="R95" s="93"/>
      <c r="S95" s="93"/>
      <c r="T95" s="93"/>
      <c r="U95" s="93"/>
      <c r="V95" s="93"/>
    </row>
    <row r="96" spans="1:232" s="88" customFormat="1" ht="54" customHeight="1" x14ac:dyDescent="0.45">
      <c r="A96" s="166"/>
      <c r="B96" s="157" t="s">
        <v>531</v>
      </c>
      <c r="C96" s="158"/>
      <c r="D96" s="60" t="s">
        <v>532</v>
      </c>
      <c r="E96" s="7" t="s">
        <v>38</v>
      </c>
      <c r="F96" s="7" t="s">
        <v>533</v>
      </c>
      <c r="G96" s="7">
        <v>7</v>
      </c>
      <c r="H96" s="7" t="s">
        <v>329</v>
      </c>
      <c r="I96" s="7">
        <v>1</v>
      </c>
      <c r="J96" s="166"/>
      <c r="K96" s="7">
        <v>4</v>
      </c>
      <c r="L96" s="7">
        <f t="shared" si="8"/>
        <v>28</v>
      </c>
      <c r="M96" s="166"/>
      <c r="N96" s="4"/>
      <c r="O96" s="30"/>
      <c r="P96" s="152"/>
      <c r="Q96" s="153"/>
      <c r="R96" s="93"/>
      <c r="S96" s="93"/>
      <c r="T96" s="93"/>
      <c r="U96" s="93"/>
      <c r="V96" s="93"/>
    </row>
    <row r="97" spans="1:232" s="88" customFormat="1" ht="48" customHeight="1" x14ac:dyDescent="0.45">
      <c r="A97" s="166"/>
      <c r="B97" s="157" t="s">
        <v>290</v>
      </c>
      <c r="C97" s="158"/>
      <c r="D97" s="60" t="s">
        <v>489</v>
      </c>
      <c r="E97" s="7" t="s">
        <v>38</v>
      </c>
      <c r="F97" s="7" t="s">
        <v>475</v>
      </c>
      <c r="G97" s="7">
        <v>2</v>
      </c>
      <c r="H97" s="7" t="s">
        <v>329</v>
      </c>
      <c r="I97" s="7">
        <v>4</v>
      </c>
      <c r="J97" s="166"/>
      <c r="K97" s="7">
        <v>4</v>
      </c>
      <c r="L97" s="7">
        <f t="shared" si="8"/>
        <v>32</v>
      </c>
      <c r="M97" s="166"/>
      <c r="N97" s="4"/>
      <c r="O97" s="30"/>
      <c r="P97" s="152"/>
      <c r="Q97" s="153"/>
      <c r="R97" s="93"/>
      <c r="S97" s="93"/>
      <c r="T97" s="93"/>
      <c r="U97" s="93"/>
      <c r="V97" s="93"/>
    </row>
    <row r="98" spans="1:232" s="88" customFormat="1" ht="43" customHeight="1" x14ac:dyDescent="0.45">
      <c r="A98" s="167"/>
      <c r="B98" s="157" t="s">
        <v>534</v>
      </c>
      <c r="C98" s="158"/>
      <c r="D98" s="60" t="s">
        <v>535</v>
      </c>
      <c r="E98" s="7" t="s">
        <v>38</v>
      </c>
      <c r="F98" s="7" t="s">
        <v>533</v>
      </c>
      <c r="G98" s="7">
        <v>7</v>
      </c>
      <c r="H98" s="7" t="s">
        <v>329</v>
      </c>
      <c r="I98" s="7">
        <v>1</v>
      </c>
      <c r="J98" s="167"/>
      <c r="K98" s="7">
        <v>4</v>
      </c>
      <c r="L98" s="7">
        <f t="shared" si="8"/>
        <v>28</v>
      </c>
      <c r="M98" s="167"/>
      <c r="N98" s="4"/>
      <c r="O98" s="30"/>
      <c r="P98" s="152"/>
      <c r="Q98" s="153"/>
      <c r="R98" s="93"/>
      <c r="S98" s="93"/>
      <c r="T98" s="93"/>
      <c r="U98" s="93"/>
      <c r="V98" s="93"/>
    </row>
    <row r="99" spans="1:232" s="88" customFormat="1" ht="80.05" customHeight="1" x14ac:dyDescent="0.45">
      <c r="A99" s="166" t="s">
        <v>536</v>
      </c>
      <c r="B99" s="156" t="s">
        <v>510</v>
      </c>
      <c r="C99" s="156"/>
      <c r="D99" s="155" t="s">
        <v>537</v>
      </c>
      <c r="E99" s="7" t="s">
        <v>30</v>
      </c>
      <c r="F99" s="7" t="s">
        <v>538</v>
      </c>
      <c r="G99" s="7">
        <v>4</v>
      </c>
      <c r="H99" s="155" t="s">
        <v>182</v>
      </c>
      <c r="I99" s="7">
        <v>4</v>
      </c>
      <c r="J99" s="160" t="s">
        <v>513</v>
      </c>
      <c r="K99" s="7">
        <v>4</v>
      </c>
      <c r="L99" s="7">
        <f t="shared" si="8"/>
        <v>64</v>
      </c>
      <c r="M99" s="155" t="s">
        <v>331</v>
      </c>
      <c r="N99" s="154" t="s">
        <v>349</v>
      </c>
      <c r="O99" s="7"/>
      <c r="P99" s="155" t="s">
        <v>515</v>
      </c>
      <c r="Q99" s="155"/>
      <c r="R99" s="93">
        <v>4</v>
      </c>
      <c r="S99" s="93">
        <v>2</v>
      </c>
      <c r="T99" s="93">
        <v>4</v>
      </c>
      <c r="U99" s="93">
        <f t="shared" ref="U99:U104" si="9">R99*S99*T99</f>
        <v>32</v>
      </c>
      <c r="V99" s="93"/>
    </row>
    <row r="100" spans="1:232" s="88" customFormat="1" ht="80.05" customHeight="1" x14ac:dyDescent="0.45">
      <c r="A100" s="167"/>
      <c r="B100" s="156"/>
      <c r="C100" s="156"/>
      <c r="D100" s="155"/>
      <c r="E100" s="7" t="s">
        <v>38</v>
      </c>
      <c r="F100" s="7" t="s">
        <v>539</v>
      </c>
      <c r="G100" s="7">
        <v>6</v>
      </c>
      <c r="H100" s="155"/>
      <c r="I100" s="7">
        <v>4</v>
      </c>
      <c r="J100" s="160"/>
      <c r="K100" s="7">
        <v>4</v>
      </c>
      <c r="L100" s="7">
        <f t="shared" si="8"/>
        <v>96</v>
      </c>
      <c r="M100" s="155"/>
      <c r="N100" s="154"/>
      <c r="O100" s="7"/>
      <c r="P100" s="155"/>
      <c r="Q100" s="155"/>
      <c r="R100" s="93">
        <v>6</v>
      </c>
      <c r="S100" s="93">
        <v>2</v>
      </c>
      <c r="T100" s="93">
        <v>4</v>
      </c>
      <c r="U100" s="93">
        <f t="shared" si="9"/>
        <v>48</v>
      </c>
      <c r="V100" s="93"/>
    </row>
    <row r="101" spans="1:232" s="88" customFormat="1" ht="80.05" customHeight="1" x14ac:dyDescent="0.45">
      <c r="A101" s="7" t="s">
        <v>540</v>
      </c>
      <c r="B101" s="160" t="s">
        <v>541</v>
      </c>
      <c r="C101" s="160"/>
      <c r="D101" s="98" t="s">
        <v>542</v>
      </c>
      <c r="E101" s="7" t="s">
        <v>38</v>
      </c>
      <c r="F101" s="7" t="s">
        <v>212</v>
      </c>
      <c r="G101" s="7">
        <v>6</v>
      </c>
      <c r="H101" s="7" t="s">
        <v>543</v>
      </c>
      <c r="I101" s="7">
        <v>2</v>
      </c>
      <c r="J101" s="60" t="s">
        <v>544</v>
      </c>
      <c r="K101" s="7">
        <v>4</v>
      </c>
      <c r="L101" s="7">
        <f t="shared" si="8"/>
        <v>48</v>
      </c>
      <c r="M101" s="7" t="s">
        <v>331</v>
      </c>
      <c r="N101" s="4"/>
      <c r="O101" s="46"/>
      <c r="P101" s="155"/>
      <c r="Q101" s="155"/>
      <c r="R101" s="93"/>
      <c r="S101" s="93"/>
      <c r="T101" s="93"/>
      <c r="U101" s="93"/>
      <c r="V101" s="93"/>
    </row>
    <row r="102" spans="1:232" s="88" customFormat="1" ht="80.05" customHeight="1" x14ac:dyDescent="0.45">
      <c r="A102" s="168" t="s">
        <v>545</v>
      </c>
      <c r="B102" s="159" t="s">
        <v>546</v>
      </c>
      <c r="C102" s="159"/>
      <c r="D102" s="110" t="s">
        <v>547</v>
      </c>
      <c r="E102" s="111" t="s">
        <v>38</v>
      </c>
      <c r="F102" s="111" t="s">
        <v>548</v>
      </c>
      <c r="G102" s="111">
        <v>6</v>
      </c>
      <c r="H102" s="111" t="s">
        <v>70</v>
      </c>
      <c r="I102" s="111">
        <v>2</v>
      </c>
      <c r="J102" s="98" t="s">
        <v>549</v>
      </c>
      <c r="K102" s="7">
        <v>4</v>
      </c>
      <c r="L102" s="111">
        <f t="shared" si="8"/>
        <v>48</v>
      </c>
      <c r="M102" s="7" t="s">
        <v>331</v>
      </c>
      <c r="N102" s="109"/>
      <c r="O102" s="98"/>
      <c r="P102" s="155"/>
      <c r="Q102" s="155"/>
      <c r="R102" s="109"/>
      <c r="S102" s="109"/>
      <c r="T102" s="109"/>
      <c r="U102" s="109"/>
      <c r="V102" s="109"/>
    </row>
    <row r="103" spans="1:232" s="88" customFormat="1" ht="80.05" customHeight="1" x14ac:dyDescent="0.45">
      <c r="A103" s="169"/>
      <c r="B103" s="156" t="s">
        <v>510</v>
      </c>
      <c r="C103" s="156"/>
      <c r="D103" s="155" t="s">
        <v>537</v>
      </c>
      <c r="E103" s="7" t="s">
        <v>30</v>
      </c>
      <c r="F103" s="7" t="s">
        <v>538</v>
      </c>
      <c r="G103" s="7">
        <v>4</v>
      </c>
      <c r="H103" s="155" t="s">
        <v>182</v>
      </c>
      <c r="I103" s="7">
        <v>4</v>
      </c>
      <c r="J103" s="160" t="s">
        <v>513</v>
      </c>
      <c r="K103" s="7">
        <v>4</v>
      </c>
      <c r="L103" s="7">
        <f t="shared" si="8"/>
        <v>64</v>
      </c>
      <c r="M103" s="155" t="s">
        <v>331</v>
      </c>
      <c r="N103" s="154" t="s">
        <v>349</v>
      </c>
      <c r="O103" s="7"/>
      <c r="P103" s="155" t="s">
        <v>515</v>
      </c>
      <c r="Q103" s="155"/>
      <c r="R103" s="93">
        <v>4</v>
      </c>
      <c r="S103" s="93">
        <v>2</v>
      </c>
      <c r="T103" s="93">
        <v>4</v>
      </c>
      <c r="U103" s="93">
        <f t="shared" si="9"/>
        <v>32</v>
      </c>
      <c r="V103" s="93"/>
    </row>
    <row r="104" spans="1:232" s="88" customFormat="1" ht="80.05" customHeight="1" x14ac:dyDescent="0.45">
      <c r="A104" s="170"/>
      <c r="B104" s="156"/>
      <c r="C104" s="156"/>
      <c r="D104" s="155"/>
      <c r="E104" s="7" t="s">
        <v>38</v>
      </c>
      <c r="F104" s="7" t="s">
        <v>539</v>
      </c>
      <c r="G104" s="7">
        <v>6</v>
      </c>
      <c r="H104" s="155"/>
      <c r="I104" s="7">
        <v>4</v>
      </c>
      <c r="J104" s="160"/>
      <c r="K104" s="7">
        <v>4</v>
      </c>
      <c r="L104" s="7">
        <f t="shared" si="8"/>
        <v>96</v>
      </c>
      <c r="M104" s="155"/>
      <c r="N104" s="154"/>
      <c r="O104" s="7"/>
      <c r="P104" s="155"/>
      <c r="Q104" s="155"/>
      <c r="R104" s="93">
        <v>6</v>
      </c>
      <c r="S104" s="93">
        <v>2</v>
      </c>
      <c r="T104" s="93">
        <v>4</v>
      </c>
      <c r="U104" s="93">
        <f t="shared" si="9"/>
        <v>48</v>
      </c>
      <c r="V104" s="93"/>
    </row>
    <row r="105" spans="1:232" s="88" customFormat="1" ht="80.05" customHeight="1" x14ac:dyDescent="0.45">
      <c r="A105" s="169" t="s">
        <v>550</v>
      </c>
      <c r="B105" s="157" t="s">
        <v>290</v>
      </c>
      <c r="C105" s="158"/>
      <c r="D105" s="60" t="s">
        <v>489</v>
      </c>
      <c r="E105" s="7" t="s">
        <v>38</v>
      </c>
      <c r="F105" s="7" t="s">
        <v>475</v>
      </c>
      <c r="G105" s="7">
        <v>2</v>
      </c>
      <c r="H105" s="7" t="s">
        <v>329</v>
      </c>
      <c r="I105" s="7">
        <v>4</v>
      </c>
      <c r="J105" s="165" t="s">
        <v>530</v>
      </c>
      <c r="K105" s="7">
        <v>4</v>
      </c>
      <c r="L105" s="7">
        <f t="shared" si="8"/>
        <v>32</v>
      </c>
      <c r="M105" s="165" t="s">
        <v>331</v>
      </c>
      <c r="N105" s="4"/>
      <c r="O105" s="7"/>
      <c r="P105" s="157"/>
      <c r="Q105" s="158"/>
      <c r="R105" s="93"/>
      <c r="S105" s="93"/>
      <c r="T105" s="93"/>
      <c r="U105" s="93"/>
      <c r="V105" s="93"/>
    </row>
    <row r="106" spans="1:232" s="88" customFormat="1" ht="80.05" customHeight="1" x14ac:dyDescent="0.45">
      <c r="A106" s="170"/>
      <c r="B106" s="157" t="s">
        <v>551</v>
      </c>
      <c r="C106" s="158"/>
      <c r="D106" s="60" t="s">
        <v>552</v>
      </c>
      <c r="E106" s="7" t="s">
        <v>30</v>
      </c>
      <c r="F106" s="7" t="s">
        <v>529</v>
      </c>
      <c r="G106" s="7">
        <v>3</v>
      </c>
      <c r="H106" s="7" t="s">
        <v>329</v>
      </c>
      <c r="I106" s="7">
        <v>3</v>
      </c>
      <c r="J106" s="167"/>
      <c r="K106" s="7">
        <v>4</v>
      </c>
      <c r="L106" s="7">
        <f t="shared" si="8"/>
        <v>36</v>
      </c>
      <c r="M106" s="167"/>
      <c r="N106" s="4"/>
      <c r="O106" s="7"/>
      <c r="P106" s="99"/>
      <c r="Q106" s="100"/>
      <c r="R106" s="93"/>
      <c r="S106" s="93"/>
      <c r="T106" s="93"/>
      <c r="U106" s="93"/>
      <c r="V106" s="93"/>
    </row>
    <row r="107" spans="1:232" s="88" customFormat="1" ht="80.05" customHeight="1" x14ac:dyDescent="0.45">
      <c r="A107" s="155" t="s">
        <v>553</v>
      </c>
      <c r="B107" s="156" t="s">
        <v>510</v>
      </c>
      <c r="C107" s="156"/>
      <c r="D107" s="155" t="s">
        <v>537</v>
      </c>
      <c r="E107" s="7" t="s">
        <v>30</v>
      </c>
      <c r="F107" s="7" t="s">
        <v>538</v>
      </c>
      <c r="G107" s="7">
        <v>4</v>
      </c>
      <c r="H107" s="155" t="s">
        <v>182</v>
      </c>
      <c r="I107" s="7">
        <v>4</v>
      </c>
      <c r="J107" s="160" t="s">
        <v>513</v>
      </c>
      <c r="K107" s="7">
        <v>4</v>
      </c>
      <c r="L107" s="7">
        <f t="shared" si="8"/>
        <v>64</v>
      </c>
      <c r="M107" s="155" t="s">
        <v>331</v>
      </c>
      <c r="N107" s="154" t="s">
        <v>349</v>
      </c>
      <c r="O107" s="7"/>
      <c r="P107" s="155" t="s">
        <v>515</v>
      </c>
      <c r="Q107" s="155"/>
      <c r="R107" s="93">
        <v>4</v>
      </c>
      <c r="S107" s="93">
        <v>2</v>
      </c>
      <c r="T107" s="93">
        <v>4</v>
      </c>
      <c r="U107" s="93">
        <f>R107*S107*T107</f>
        <v>32</v>
      </c>
      <c r="V107" s="93"/>
    </row>
    <row r="108" spans="1:232" s="88" customFormat="1" ht="80.05" customHeight="1" x14ac:dyDescent="0.45">
      <c r="A108" s="155"/>
      <c r="B108" s="156"/>
      <c r="C108" s="156"/>
      <c r="D108" s="155"/>
      <c r="E108" s="7" t="s">
        <v>38</v>
      </c>
      <c r="F108" s="7" t="s">
        <v>539</v>
      </c>
      <c r="G108" s="7">
        <v>6</v>
      </c>
      <c r="H108" s="155"/>
      <c r="I108" s="7">
        <v>4</v>
      </c>
      <c r="J108" s="160"/>
      <c r="K108" s="7">
        <v>4</v>
      </c>
      <c r="L108" s="7">
        <f t="shared" si="8"/>
        <v>96</v>
      </c>
      <c r="M108" s="155"/>
      <c r="N108" s="154"/>
      <c r="O108" s="7"/>
      <c r="P108" s="155"/>
      <c r="Q108" s="155"/>
      <c r="R108" s="93">
        <v>6</v>
      </c>
      <c r="S108" s="93">
        <v>2</v>
      </c>
      <c r="T108" s="93">
        <v>4</v>
      </c>
      <c r="U108" s="93">
        <f>R108*S108*T108</f>
        <v>48</v>
      </c>
      <c r="V108" s="93"/>
    </row>
    <row r="109" spans="1:232" s="88" customFormat="1" ht="80.05" customHeight="1" x14ac:dyDescent="0.45">
      <c r="A109" s="155" t="s">
        <v>554</v>
      </c>
      <c r="B109" s="155" t="s">
        <v>555</v>
      </c>
      <c r="C109" s="155"/>
      <c r="D109" s="60" t="s">
        <v>556</v>
      </c>
      <c r="E109" s="7" t="s">
        <v>30</v>
      </c>
      <c r="F109" s="7" t="s">
        <v>557</v>
      </c>
      <c r="G109" s="7">
        <v>4</v>
      </c>
      <c r="H109" s="7" t="s">
        <v>558</v>
      </c>
      <c r="I109" s="7">
        <v>3</v>
      </c>
      <c r="J109" s="160" t="s">
        <v>559</v>
      </c>
      <c r="K109" s="7">
        <v>4</v>
      </c>
      <c r="L109" s="7">
        <f t="shared" si="8"/>
        <v>48</v>
      </c>
      <c r="M109" s="155" t="s">
        <v>331</v>
      </c>
      <c r="N109" s="4"/>
      <c r="O109" s="182"/>
      <c r="P109" s="154"/>
      <c r="Q109" s="154"/>
      <c r="R109" s="93"/>
      <c r="S109" s="93"/>
      <c r="T109" s="93"/>
      <c r="U109" s="93"/>
      <c r="V109" s="93"/>
    </row>
    <row r="110" spans="1:232" s="88" customFormat="1" ht="56.05" customHeight="1" x14ac:dyDescent="0.45">
      <c r="A110" s="155"/>
      <c r="B110" s="155" t="s">
        <v>560</v>
      </c>
      <c r="C110" s="155"/>
      <c r="D110" s="7" t="s">
        <v>523</v>
      </c>
      <c r="E110" s="7" t="s">
        <v>30</v>
      </c>
      <c r="F110" s="7" t="s">
        <v>524</v>
      </c>
      <c r="G110" s="7">
        <v>4</v>
      </c>
      <c r="H110" s="7" t="s">
        <v>70</v>
      </c>
      <c r="I110" s="7">
        <v>2</v>
      </c>
      <c r="J110" s="160"/>
      <c r="K110" s="7">
        <v>4</v>
      </c>
      <c r="L110" s="7">
        <f t="shared" si="8"/>
        <v>32</v>
      </c>
      <c r="M110" s="155"/>
      <c r="N110" s="4"/>
      <c r="O110" s="182"/>
      <c r="P110" s="154"/>
      <c r="Q110" s="154"/>
      <c r="R110" s="93"/>
      <c r="S110" s="93"/>
      <c r="T110" s="93"/>
      <c r="U110" s="93"/>
      <c r="V110" s="93"/>
    </row>
    <row r="111" spans="1:232" s="87" customFormat="1" ht="42" customHeight="1" x14ac:dyDescent="0.45">
      <c r="A111" s="171" t="s">
        <v>463</v>
      </c>
      <c r="B111" s="171" t="s">
        <v>561</v>
      </c>
      <c r="C111" s="171"/>
      <c r="D111" s="110" t="s">
        <v>562</v>
      </c>
      <c r="E111" s="111" t="s">
        <v>38</v>
      </c>
      <c r="F111" s="111" t="s">
        <v>563</v>
      </c>
      <c r="G111" s="111">
        <v>6</v>
      </c>
      <c r="H111" s="111" t="s">
        <v>564</v>
      </c>
      <c r="I111" s="111">
        <v>3</v>
      </c>
      <c r="J111" s="160" t="s">
        <v>565</v>
      </c>
      <c r="K111" s="111">
        <v>4</v>
      </c>
      <c r="L111" s="111">
        <f t="shared" si="8"/>
        <v>72</v>
      </c>
      <c r="M111" s="155" t="s">
        <v>331</v>
      </c>
      <c r="N111" s="109"/>
      <c r="O111" s="98"/>
      <c r="P111" s="155"/>
      <c r="Q111" s="155"/>
      <c r="R111" s="109"/>
      <c r="S111" s="109"/>
      <c r="T111" s="109"/>
      <c r="U111" s="109"/>
      <c r="V111" s="109"/>
      <c r="HU111"/>
      <c r="HV111"/>
      <c r="HW111"/>
      <c r="HX111"/>
    </row>
    <row r="112" spans="1:232" s="87" customFormat="1" ht="42" customHeight="1" x14ac:dyDescent="0.45">
      <c r="A112" s="171"/>
      <c r="B112" s="171"/>
      <c r="C112" s="171"/>
      <c r="D112" s="110" t="s">
        <v>566</v>
      </c>
      <c r="E112" s="111" t="s">
        <v>38</v>
      </c>
      <c r="F112" s="111" t="s">
        <v>448</v>
      </c>
      <c r="G112" s="111">
        <v>7</v>
      </c>
      <c r="H112" s="111" t="s">
        <v>567</v>
      </c>
      <c r="I112" s="111">
        <v>3</v>
      </c>
      <c r="J112" s="160"/>
      <c r="K112" s="111">
        <v>4</v>
      </c>
      <c r="L112" s="111">
        <f t="shared" ref="L112:L125" si="10">G112*I112*K112</f>
        <v>84</v>
      </c>
      <c r="M112" s="155"/>
      <c r="N112" s="109"/>
      <c r="O112" s="98"/>
      <c r="P112" s="155"/>
      <c r="Q112" s="155"/>
      <c r="R112" s="109"/>
      <c r="S112" s="109"/>
      <c r="T112" s="109"/>
      <c r="U112" s="109"/>
      <c r="V112" s="109"/>
      <c r="HU112"/>
      <c r="HV112"/>
      <c r="HW112"/>
      <c r="HX112"/>
    </row>
    <row r="113" spans="1:256" s="87" customFormat="1" ht="42" customHeight="1" x14ac:dyDescent="0.45">
      <c r="A113" s="171"/>
      <c r="B113" s="171"/>
      <c r="C113" s="171"/>
      <c r="D113" s="110" t="s">
        <v>568</v>
      </c>
      <c r="E113" s="111" t="s">
        <v>38</v>
      </c>
      <c r="F113" s="111" t="s">
        <v>448</v>
      </c>
      <c r="G113" s="111">
        <v>7</v>
      </c>
      <c r="H113" s="111" t="s">
        <v>394</v>
      </c>
      <c r="I113" s="111">
        <v>3</v>
      </c>
      <c r="J113" s="160"/>
      <c r="K113" s="111">
        <v>4</v>
      </c>
      <c r="L113" s="111">
        <f t="shared" si="10"/>
        <v>84</v>
      </c>
      <c r="M113" s="155"/>
      <c r="N113" s="109"/>
      <c r="O113" s="98"/>
      <c r="P113" s="155"/>
      <c r="Q113" s="155"/>
      <c r="R113" s="109"/>
      <c r="S113" s="109"/>
      <c r="T113" s="109"/>
      <c r="U113" s="109"/>
      <c r="V113" s="109"/>
      <c r="HU113"/>
      <c r="HV113"/>
      <c r="HW113"/>
      <c r="HX113"/>
    </row>
    <row r="114" spans="1:256" s="87" customFormat="1" ht="73" customHeight="1" x14ac:dyDescent="0.45">
      <c r="A114" s="171" t="s">
        <v>569</v>
      </c>
      <c r="B114" s="171" t="s">
        <v>570</v>
      </c>
      <c r="C114" s="171"/>
      <c r="D114" s="111" t="s">
        <v>571</v>
      </c>
      <c r="E114" s="111" t="s">
        <v>38</v>
      </c>
      <c r="F114" s="171" t="s">
        <v>448</v>
      </c>
      <c r="G114" s="111">
        <v>7</v>
      </c>
      <c r="H114" s="111" t="s">
        <v>329</v>
      </c>
      <c r="I114" s="111">
        <v>3</v>
      </c>
      <c r="J114" s="98"/>
      <c r="K114" s="111">
        <v>4</v>
      </c>
      <c r="L114" s="111">
        <f t="shared" si="10"/>
        <v>84</v>
      </c>
      <c r="M114" s="155" t="s">
        <v>331</v>
      </c>
      <c r="N114" s="109"/>
      <c r="O114" s="98"/>
      <c r="P114" s="155"/>
      <c r="Q114" s="155"/>
      <c r="R114" s="109"/>
      <c r="S114" s="109"/>
      <c r="T114" s="109"/>
      <c r="U114" s="109"/>
      <c r="V114" s="109"/>
      <c r="HU114"/>
      <c r="HV114"/>
      <c r="HW114"/>
      <c r="HX114"/>
    </row>
    <row r="115" spans="1:256" s="87" customFormat="1" ht="73" customHeight="1" x14ac:dyDescent="0.45">
      <c r="A115" s="171"/>
      <c r="B115" s="171"/>
      <c r="C115" s="171"/>
      <c r="D115" s="110" t="s">
        <v>566</v>
      </c>
      <c r="E115" s="111" t="s">
        <v>38</v>
      </c>
      <c r="F115" s="171"/>
      <c r="G115" s="111">
        <v>7</v>
      </c>
      <c r="H115" s="111" t="s">
        <v>567</v>
      </c>
      <c r="I115" s="111">
        <v>3</v>
      </c>
      <c r="J115" s="98"/>
      <c r="K115" s="111">
        <v>4</v>
      </c>
      <c r="L115" s="111">
        <f t="shared" si="10"/>
        <v>84</v>
      </c>
      <c r="M115" s="155"/>
      <c r="N115" s="109"/>
      <c r="O115" s="98"/>
      <c r="P115" s="155"/>
      <c r="Q115" s="155"/>
      <c r="R115" s="109"/>
      <c r="S115" s="109"/>
      <c r="T115" s="109"/>
      <c r="U115" s="109"/>
      <c r="V115" s="109"/>
      <c r="HU115"/>
      <c r="HV115"/>
      <c r="HW115"/>
      <c r="HX115"/>
    </row>
    <row r="116" spans="1:256" s="87" customFormat="1" ht="73" customHeight="1" x14ac:dyDescent="0.45">
      <c r="A116" s="171"/>
      <c r="B116" s="171"/>
      <c r="C116" s="171"/>
      <c r="D116" s="110" t="s">
        <v>572</v>
      </c>
      <c r="E116" s="111" t="s">
        <v>38</v>
      </c>
      <c r="F116" s="171"/>
      <c r="G116" s="111">
        <v>7</v>
      </c>
      <c r="H116" s="111" t="s">
        <v>402</v>
      </c>
      <c r="I116" s="111">
        <v>3</v>
      </c>
      <c r="J116" s="98"/>
      <c r="K116" s="111">
        <v>4</v>
      </c>
      <c r="L116" s="111">
        <f t="shared" si="10"/>
        <v>84</v>
      </c>
      <c r="M116" s="155"/>
      <c r="N116" s="109"/>
      <c r="O116" s="98"/>
      <c r="P116" s="155"/>
      <c r="Q116" s="155"/>
      <c r="R116" s="109"/>
      <c r="S116" s="109"/>
      <c r="T116" s="109"/>
      <c r="U116" s="109"/>
      <c r="V116" s="109"/>
      <c r="HU116"/>
      <c r="HV116"/>
      <c r="HW116"/>
      <c r="HX116"/>
    </row>
    <row r="117" spans="1:256" s="87" customFormat="1" ht="80.05" customHeight="1" x14ac:dyDescent="0.45">
      <c r="A117" s="171" t="s">
        <v>573</v>
      </c>
      <c r="B117" s="171" t="s">
        <v>574</v>
      </c>
      <c r="C117" s="171"/>
      <c r="D117" s="110" t="s">
        <v>568</v>
      </c>
      <c r="E117" s="111" t="s">
        <v>38</v>
      </c>
      <c r="F117" s="111" t="s">
        <v>448</v>
      </c>
      <c r="G117" s="111">
        <v>7</v>
      </c>
      <c r="H117" s="111" t="s">
        <v>575</v>
      </c>
      <c r="I117" s="111">
        <v>3</v>
      </c>
      <c r="J117" s="160" t="s">
        <v>576</v>
      </c>
      <c r="K117" s="111">
        <v>4</v>
      </c>
      <c r="L117" s="111">
        <f t="shared" si="10"/>
        <v>84</v>
      </c>
      <c r="M117" s="155" t="s">
        <v>331</v>
      </c>
      <c r="N117" s="111"/>
      <c r="O117" s="4"/>
      <c r="P117" s="155"/>
      <c r="Q117" s="155"/>
      <c r="R117" s="109"/>
      <c r="S117" s="109"/>
      <c r="T117" s="109"/>
      <c r="U117" s="109"/>
      <c r="V117" s="109"/>
      <c r="HU117"/>
      <c r="HV117"/>
      <c r="HW117"/>
      <c r="HX117"/>
    </row>
    <row r="118" spans="1:256" s="87" customFormat="1" ht="82" customHeight="1" x14ac:dyDescent="0.45">
      <c r="A118" s="171"/>
      <c r="B118" s="171"/>
      <c r="C118" s="171"/>
      <c r="D118" s="111" t="s">
        <v>571</v>
      </c>
      <c r="E118" s="111" t="s">
        <v>38</v>
      </c>
      <c r="F118" s="171" t="s">
        <v>448</v>
      </c>
      <c r="G118" s="111">
        <v>7</v>
      </c>
      <c r="H118" s="111" t="s">
        <v>70</v>
      </c>
      <c r="I118" s="111">
        <v>3</v>
      </c>
      <c r="J118" s="160"/>
      <c r="K118" s="111">
        <v>4</v>
      </c>
      <c r="L118" s="111">
        <f t="shared" si="10"/>
        <v>84</v>
      </c>
      <c r="M118" s="155"/>
      <c r="N118" s="111"/>
      <c r="O118" s="4"/>
      <c r="P118" s="155"/>
      <c r="Q118" s="155"/>
      <c r="R118" s="109"/>
      <c r="S118" s="109"/>
      <c r="T118" s="109"/>
      <c r="U118" s="109"/>
      <c r="V118" s="109"/>
      <c r="HU118"/>
      <c r="HV118"/>
      <c r="HW118"/>
      <c r="HX118"/>
    </row>
    <row r="119" spans="1:256" s="87" customFormat="1" ht="78" customHeight="1" x14ac:dyDescent="0.45">
      <c r="A119" s="171"/>
      <c r="B119" s="171"/>
      <c r="C119" s="171"/>
      <c r="D119" s="110" t="s">
        <v>577</v>
      </c>
      <c r="E119" s="111" t="s">
        <v>38</v>
      </c>
      <c r="F119" s="171"/>
      <c r="G119" s="111">
        <v>7</v>
      </c>
      <c r="H119" s="111" t="s">
        <v>578</v>
      </c>
      <c r="I119" s="111">
        <v>3</v>
      </c>
      <c r="J119" s="160"/>
      <c r="K119" s="111">
        <v>4</v>
      </c>
      <c r="L119" s="111">
        <f t="shared" si="10"/>
        <v>84</v>
      </c>
      <c r="M119" s="155"/>
      <c r="N119" s="111"/>
      <c r="O119" s="4"/>
      <c r="P119" s="155"/>
      <c r="Q119" s="155"/>
      <c r="R119" s="109"/>
      <c r="S119" s="109"/>
      <c r="T119" s="109"/>
      <c r="U119" s="109"/>
      <c r="V119" s="109"/>
      <c r="HU119"/>
      <c r="HV119"/>
      <c r="HW119"/>
      <c r="HX119"/>
    </row>
    <row r="120" spans="1:256" s="87" customFormat="1" ht="79" customHeight="1" x14ac:dyDescent="0.45">
      <c r="A120" s="171"/>
      <c r="B120" s="171"/>
      <c r="C120" s="171"/>
      <c r="D120" s="110" t="s">
        <v>579</v>
      </c>
      <c r="E120" s="111" t="s">
        <v>38</v>
      </c>
      <c r="F120" s="171"/>
      <c r="G120" s="111">
        <v>7</v>
      </c>
      <c r="H120" s="111" t="s">
        <v>580</v>
      </c>
      <c r="I120" s="111">
        <v>3</v>
      </c>
      <c r="J120" s="160"/>
      <c r="K120" s="111">
        <v>4</v>
      </c>
      <c r="L120" s="111">
        <f t="shared" si="10"/>
        <v>84</v>
      </c>
      <c r="M120" s="155"/>
      <c r="N120" s="111"/>
      <c r="O120" s="4"/>
      <c r="P120" s="155"/>
      <c r="Q120" s="155"/>
      <c r="R120" s="109"/>
      <c r="S120" s="109"/>
      <c r="T120" s="109"/>
      <c r="U120" s="109"/>
      <c r="V120" s="109"/>
      <c r="HU120"/>
      <c r="HV120"/>
      <c r="HW120"/>
      <c r="HX120"/>
    </row>
    <row r="121" spans="1:256" s="87" customFormat="1" ht="112" customHeight="1" x14ac:dyDescent="0.45">
      <c r="A121" s="171" t="s">
        <v>581</v>
      </c>
      <c r="B121" s="171" t="s">
        <v>582</v>
      </c>
      <c r="C121" s="171"/>
      <c r="D121" s="110" t="s">
        <v>568</v>
      </c>
      <c r="E121" s="111" t="s">
        <v>38</v>
      </c>
      <c r="F121" s="168" t="s">
        <v>448</v>
      </c>
      <c r="G121" s="111">
        <v>7</v>
      </c>
      <c r="H121" s="111" t="s">
        <v>394</v>
      </c>
      <c r="I121" s="111">
        <v>3</v>
      </c>
      <c r="J121" s="160" t="s">
        <v>576</v>
      </c>
      <c r="K121" s="111">
        <v>4</v>
      </c>
      <c r="L121" s="111">
        <f t="shared" si="10"/>
        <v>84</v>
      </c>
      <c r="M121" s="163" t="s">
        <v>331</v>
      </c>
      <c r="N121" s="111"/>
      <c r="O121" s="4"/>
      <c r="P121" s="155"/>
      <c r="Q121" s="155"/>
      <c r="R121" s="109"/>
      <c r="S121" s="109"/>
      <c r="T121" s="109"/>
      <c r="U121" s="109"/>
      <c r="V121" s="109"/>
      <c r="HU121"/>
      <c r="HV121"/>
      <c r="HW121"/>
      <c r="HX121"/>
    </row>
    <row r="122" spans="1:256" s="87" customFormat="1" ht="112" customHeight="1" x14ac:dyDescent="0.45">
      <c r="A122" s="171"/>
      <c r="B122" s="171"/>
      <c r="C122" s="171"/>
      <c r="D122" s="111" t="s">
        <v>571</v>
      </c>
      <c r="E122" s="111" t="s">
        <v>38</v>
      </c>
      <c r="F122" s="169"/>
      <c r="G122" s="111">
        <v>7</v>
      </c>
      <c r="H122" s="111" t="s">
        <v>329</v>
      </c>
      <c r="I122" s="111">
        <v>3</v>
      </c>
      <c r="J122" s="160"/>
      <c r="K122" s="111">
        <v>4</v>
      </c>
      <c r="L122" s="111">
        <f t="shared" si="10"/>
        <v>84</v>
      </c>
      <c r="M122" s="180"/>
      <c r="N122" s="111"/>
      <c r="O122" s="4"/>
      <c r="P122" s="155"/>
      <c r="Q122" s="155"/>
      <c r="R122" s="109"/>
      <c r="S122" s="109"/>
      <c r="T122" s="109"/>
      <c r="U122" s="109"/>
      <c r="V122" s="109"/>
      <c r="HU122"/>
      <c r="HV122"/>
      <c r="HW122"/>
      <c r="HX122"/>
    </row>
    <row r="123" spans="1:256" s="87" customFormat="1" ht="112" customHeight="1" x14ac:dyDescent="0.45">
      <c r="A123" s="171"/>
      <c r="B123" s="171"/>
      <c r="C123" s="171"/>
      <c r="D123" s="110" t="s">
        <v>577</v>
      </c>
      <c r="E123" s="111" t="s">
        <v>38</v>
      </c>
      <c r="F123" s="169"/>
      <c r="G123" s="111">
        <v>7</v>
      </c>
      <c r="H123" s="111" t="s">
        <v>567</v>
      </c>
      <c r="I123" s="111">
        <v>3</v>
      </c>
      <c r="J123" s="160"/>
      <c r="K123" s="111">
        <v>4</v>
      </c>
      <c r="L123" s="111">
        <f t="shared" si="10"/>
        <v>84</v>
      </c>
      <c r="M123" s="180"/>
      <c r="N123" s="111"/>
      <c r="O123" s="4"/>
      <c r="P123" s="155"/>
      <c r="Q123" s="155"/>
      <c r="R123" s="109"/>
      <c r="S123" s="109"/>
      <c r="T123" s="109"/>
      <c r="U123" s="109"/>
      <c r="V123" s="109"/>
      <c r="HU123"/>
      <c r="HV123"/>
      <c r="HW123"/>
      <c r="HX123"/>
    </row>
    <row r="124" spans="1:256" s="87" customFormat="1" ht="112" customHeight="1" x14ac:dyDescent="0.45">
      <c r="A124" s="171"/>
      <c r="B124" s="171"/>
      <c r="C124" s="171"/>
      <c r="D124" s="110" t="s">
        <v>579</v>
      </c>
      <c r="E124" s="111" t="s">
        <v>38</v>
      </c>
      <c r="F124" s="170"/>
      <c r="G124" s="111">
        <v>7</v>
      </c>
      <c r="H124" s="111" t="s">
        <v>402</v>
      </c>
      <c r="I124" s="111">
        <v>3</v>
      </c>
      <c r="J124" s="160"/>
      <c r="K124" s="111">
        <v>4</v>
      </c>
      <c r="L124" s="111">
        <f t="shared" si="10"/>
        <v>84</v>
      </c>
      <c r="M124" s="164"/>
      <c r="N124" s="111"/>
      <c r="O124" s="4"/>
      <c r="P124" s="155"/>
      <c r="Q124" s="155"/>
      <c r="R124" s="109"/>
      <c r="S124" s="109"/>
      <c r="T124" s="109"/>
      <c r="U124" s="109"/>
      <c r="V124" s="109"/>
      <c r="HU124"/>
      <c r="HV124"/>
      <c r="HW124"/>
      <c r="HX124"/>
    </row>
    <row r="125" spans="1:256" s="88" customFormat="1" ht="51" customHeight="1" x14ac:dyDescent="0.45">
      <c r="A125" s="155" t="s">
        <v>583</v>
      </c>
      <c r="B125" s="189" t="s">
        <v>584</v>
      </c>
      <c r="C125" s="189"/>
      <c r="D125" s="155" t="s">
        <v>585</v>
      </c>
      <c r="E125" s="4" t="s">
        <v>30</v>
      </c>
      <c r="F125" s="4" t="s">
        <v>586</v>
      </c>
      <c r="G125" s="112">
        <v>2</v>
      </c>
      <c r="H125" s="155" t="s">
        <v>587</v>
      </c>
      <c r="I125" s="173">
        <v>2</v>
      </c>
      <c r="J125" s="155" t="s">
        <v>588</v>
      </c>
      <c r="K125" s="178">
        <v>8</v>
      </c>
      <c r="L125" s="4">
        <f t="shared" si="10"/>
        <v>32</v>
      </c>
      <c r="M125" s="181" t="s">
        <v>331</v>
      </c>
      <c r="N125" s="155"/>
      <c r="O125" s="98"/>
      <c r="P125" s="154"/>
      <c r="Q125" s="154"/>
      <c r="R125" s="112"/>
      <c r="S125" s="95"/>
      <c r="T125" s="7"/>
      <c r="U125" s="93"/>
      <c r="V125" s="113"/>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87"/>
      <c r="EM125" s="87"/>
      <c r="EN125" s="87"/>
      <c r="EO125" s="87"/>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c r="FL125" s="87"/>
      <c r="FM125" s="87"/>
      <c r="FN125" s="87"/>
      <c r="FO125" s="87"/>
      <c r="FP125" s="87"/>
      <c r="FQ125" s="87"/>
      <c r="FR125" s="87"/>
      <c r="FS125" s="87"/>
      <c r="FT125" s="87"/>
      <c r="FU125" s="87"/>
      <c r="FV125" s="87"/>
      <c r="FW125" s="87"/>
      <c r="FX125" s="87"/>
      <c r="FY125" s="87"/>
      <c r="FZ125" s="87"/>
      <c r="GA125" s="87"/>
      <c r="GB125" s="87"/>
      <c r="GC125" s="87"/>
      <c r="GD125" s="87"/>
      <c r="GE125" s="87"/>
      <c r="GF125" s="87"/>
      <c r="GG125" s="87"/>
      <c r="GH125" s="87"/>
      <c r="GI125" s="87"/>
      <c r="GJ125" s="87"/>
      <c r="GK125" s="87"/>
      <c r="GL125" s="87"/>
      <c r="GM125" s="87"/>
      <c r="GN125" s="87"/>
      <c r="GO125" s="87"/>
      <c r="GP125" s="87"/>
      <c r="GQ125" s="87"/>
      <c r="GR125" s="87"/>
      <c r="GS125" s="87"/>
      <c r="GT125" s="87"/>
      <c r="GU125" s="87"/>
      <c r="GV125" s="87"/>
      <c r="GW125" s="87"/>
      <c r="GX125" s="87"/>
      <c r="GY125" s="87"/>
      <c r="GZ125" s="87"/>
      <c r="HA125" s="87"/>
      <c r="HB125" s="87"/>
      <c r="HC125" s="87"/>
      <c r="HD125" s="87"/>
      <c r="HE125" s="87"/>
      <c r="HF125" s="87"/>
      <c r="HG125" s="87"/>
      <c r="HH125" s="87"/>
      <c r="HI125" s="87"/>
      <c r="HJ125" s="87"/>
      <c r="HK125" s="87"/>
      <c r="HL125" s="87"/>
      <c r="HM125" s="87"/>
      <c r="HN125" s="87"/>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s="88" customFormat="1" ht="51" customHeight="1" x14ac:dyDescent="0.45">
      <c r="A126" s="155"/>
      <c r="B126" s="189"/>
      <c r="C126" s="189"/>
      <c r="D126" s="155"/>
      <c r="E126" s="4" t="s">
        <v>38</v>
      </c>
      <c r="F126" s="7" t="s">
        <v>589</v>
      </c>
      <c r="G126" s="112">
        <v>5</v>
      </c>
      <c r="H126" s="155"/>
      <c r="I126" s="173"/>
      <c r="J126" s="155"/>
      <c r="K126" s="178"/>
      <c r="L126" s="4">
        <f>G126*I125*K125</f>
        <v>80</v>
      </c>
      <c r="M126" s="181"/>
      <c r="N126" s="155"/>
      <c r="O126" s="98"/>
      <c r="P126" s="154"/>
      <c r="Q126" s="154"/>
      <c r="R126" s="112"/>
      <c r="S126" s="95"/>
      <c r="T126" s="7"/>
      <c r="U126" s="93"/>
      <c r="V126" s="113"/>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87"/>
      <c r="EM126" s="87"/>
      <c r="EN126" s="87"/>
      <c r="EO126" s="87"/>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c r="FL126" s="87"/>
      <c r="FM126" s="87"/>
      <c r="FN126" s="87"/>
      <c r="FO126" s="87"/>
      <c r="FP126" s="87"/>
      <c r="FQ126" s="87"/>
      <c r="FR126" s="87"/>
      <c r="FS126" s="87"/>
      <c r="FT126" s="87"/>
      <c r="FU126" s="87"/>
      <c r="FV126" s="87"/>
      <c r="FW126" s="87"/>
      <c r="FX126" s="87"/>
      <c r="FY126" s="87"/>
      <c r="FZ126" s="87"/>
      <c r="GA126" s="87"/>
      <c r="GB126" s="87"/>
      <c r="GC126" s="87"/>
      <c r="GD126" s="87"/>
      <c r="GE126" s="87"/>
      <c r="GF126" s="87"/>
      <c r="GG126" s="87"/>
      <c r="GH126" s="87"/>
      <c r="GI126" s="87"/>
      <c r="GJ126" s="87"/>
      <c r="GK126" s="87"/>
      <c r="GL126" s="87"/>
      <c r="GM126" s="87"/>
      <c r="GN126" s="87"/>
      <c r="GO126" s="87"/>
      <c r="GP126" s="87"/>
      <c r="GQ126" s="87"/>
      <c r="GR126" s="87"/>
      <c r="GS126" s="87"/>
      <c r="GT126" s="87"/>
      <c r="GU126" s="87"/>
      <c r="GV126" s="87"/>
      <c r="GW126" s="87"/>
      <c r="GX126" s="87"/>
      <c r="GY126" s="87"/>
      <c r="GZ126" s="87"/>
      <c r="HA126" s="87"/>
      <c r="HB126" s="87"/>
      <c r="HC126" s="87"/>
      <c r="HD126" s="87"/>
      <c r="HE126" s="87"/>
      <c r="HF126" s="87"/>
      <c r="HG126" s="87"/>
      <c r="HH126" s="87"/>
      <c r="HI126" s="87"/>
      <c r="HJ126" s="87"/>
      <c r="HK126" s="87"/>
      <c r="HL126" s="87"/>
      <c r="HM126" s="87"/>
      <c r="HN126" s="87"/>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s="88" customFormat="1" ht="51" customHeight="1" x14ac:dyDescent="0.45">
      <c r="A127" s="155"/>
      <c r="B127" s="189"/>
      <c r="C127" s="189"/>
      <c r="D127" s="155"/>
      <c r="E127" s="7" t="s">
        <v>40</v>
      </c>
      <c r="F127" s="4" t="s">
        <v>590</v>
      </c>
      <c r="G127" s="7">
        <v>2</v>
      </c>
      <c r="H127" s="155"/>
      <c r="I127" s="173"/>
      <c r="J127" s="155"/>
      <c r="K127" s="178"/>
      <c r="L127" s="4">
        <f>G127*I125*K125</f>
        <v>32</v>
      </c>
      <c r="M127" s="181"/>
      <c r="N127" s="155"/>
      <c r="O127" s="98"/>
      <c r="P127" s="154"/>
      <c r="Q127" s="154"/>
      <c r="R127" s="7"/>
      <c r="S127" s="95"/>
      <c r="T127" s="7"/>
      <c r="U127" s="93"/>
      <c r="V127" s="114"/>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87"/>
      <c r="EM127" s="87"/>
      <c r="EN127" s="87"/>
      <c r="EO127" s="87"/>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c r="FL127" s="87"/>
      <c r="FM127" s="87"/>
      <c r="FN127" s="87"/>
      <c r="FO127" s="87"/>
      <c r="FP127" s="87"/>
      <c r="FQ127" s="87"/>
      <c r="FR127" s="87"/>
      <c r="FS127" s="87"/>
      <c r="FT127" s="87"/>
      <c r="FU127" s="87"/>
      <c r="FV127" s="87"/>
      <c r="FW127" s="87"/>
      <c r="FX127" s="87"/>
      <c r="FY127" s="87"/>
      <c r="FZ127" s="87"/>
      <c r="GA127" s="87"/>
      <c r="GB127" s="87"/>
      <c r="GC127" s="87"/>
      <c r="GD127" s="87"/>
      <c r="GE127" s="87"/>
      <c r="GF127" s="87"/>
      <c r="GG127" s="87"/>
      <c r="GH127" s="87"/>
      <c r="GI127" s="87"/>
      <c r="GJ127" s="87"/>
      <c r="GK127" s="87"/>
      <c r="GL127" s="87"/>
      <c r="GM127" s="87"/>
      <c r="GN127" s="87"/>
      <c r="GO127" s="87"/>
      <c r="GP127" s="87"/>
      <c r="GQ127" s="87"/>
      <c r="GR127" s="87"/>
      <c r="GS127" s="87"/>
      <c r="GT127" s="87"/>
      <c r="GU127" s="87"/>
      <c r="GV127" s="87"/>
      <c r="GW127" s="87"/>
      <c r="GX127" s="87"/>
      <c r="GY127" s="87"/>
      <c r="GZ127" s="87"/>
      <c r="HA127" s="87"/>
      <c r="HB127" s="87"/>
      <c r="HC127" s="87"/>
      <c r="HD127" s="87"/>
      <c r="HE127" s="87"/>
      <c r="HF127" s="87"/>
      <c r="HG127" s="87"/>
      <c r="HH127" s="87"/>
      <c r="HI127" s="87"/>
      <c r="HJ127" s="87"/>
      <c r="HK127" s="87"/>
      <c r="HL127" s="87"/>
      <c r="HM127" s="87"/>
      <c r="HN127" s="87"/>
      <c r="HO127" s="87"/>
      <c r="HP127" s="8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s="88" customFormat="1" ht="51" customHeight="1" x14ac:dyDescent="0.45">
      <c r="A128" s="155"/>
      <c r="B128" s="189"/>
      <c r="C128" s="189"/>
      <c r="D128" s="155" t="s">
        <v>591</v>
      </c>
      <c r="E128" s="4" t="s">
        <v>30</v>
      </c>
      <c r="F128" s="4" t="s">
        <v>586</v>
      </c>
      <c r="G128" s="112">
        <v>2</v>
      </c>
      <c r="H128" s="155" t="s">
        <v>592</v>
      </c>
      <c r="I128" s="155">
        <v>2</v>
      </c>
      <c r="J128" s="155" t="s">
        <v>593</v>
      </c>
      <c r="K128" s="179">
        <v>8</v>
      </c>
      <c r="L128" s="4">
        <f>G128*I128*K128</f>
        <v>32</v>
      </c>
      <c r="M128" s="181"/>
      <c r="N128" s="155"/>
      <c r="O128" s="98"/>
      <c r="P128" s="154"/>
      <c r="Q128" s="154"/>
      <c r="R128" s="112"/>
      <c r="S128" s="95"/>
      <c r="T128" s="7"/>
      <c r="U128" s="93"/>
      <c r="V128" s="114"/>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87"/>
      <c r="EM128" s="87"/>
      <c r="EN128" s="87"/>
      <c r="EO128" s="87"/>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c r="FL128" s="87"/>
      <c r="FM128" s="87"/>
      <c r="FN128" s="87"/>
      <c r="FO128" s="87"/>
      <c r="FP128" s="87"/>
      <c r="FQ128" s="87"/>
      <c r="FR128" s="87"/>
      <c r="FS128" s="87"/>
      <c r="FT128" s="87"/>
      <c r="FU128" s="87"/>
      <c r="FV128" s="87"/>
      <c r="FW128" s="87"/>
      <c r="FX128" s="87"/>
      <c r="FY128" s="87"/>
      <c r="FZ128" s="87"/>
      <c r="GA128" s="87"/>
      <c r="GB128" s="87"/>
      <c r="GC128" s="87"/>
      <c r="GD128" s="87"/>
      <c r="GE128" s="87"/>
      <c r="GF128" s="87"/>
      <c r="GG128" s="87"/>
      <c r="GH128" s="87"/>
      <c r="GI128" s="87"/>
      <c r="GJ128" s="87"/>
      <c r="GK128" s="87"/>
      <c r="GL128" s="87"/>
      <c r="GM128" s="87"/>
      <c r="GN128" s="87"/>
      <c r="GO128" s="87"/>
      <c r="GP128" s="87"/>
      <c r="GQ128" s="87"/>
      <c r="GR128" s="87"/>
      <c r="GS128" s="87"/>
      <c r="GT128" s="87"/>
      <c r="GU128" s="87"/>
      <c r="GV128" s="87"/>
      <c r="GW128" s="87"/>
      <c r="GX128" s="87"/>
      <c r="GY128" s="87"/>
      <c r="GZ128" s="87"/>
      <c r="HA128" s="87"/>
      <c r="HB128" s="87"/>
      <c r="HC128" s="87"/>
      <c r="HD128" s="87"/>
      <c r="HE128" s="87"/>
      <c r="HF128" s="87"/>
      <c r="HG128" s="87"/>
      <c r="HH128" s="87"/>
      <c r="HI128" s="87"/>
      <c r="HJ128" s="87"/>
      <c r="HK128" s="87"/>
      <c r="HL128" s="87"/>
      <c r="HM128" s="87"/>
      <c r="HN128" s="87"/>
      <c r="HO128" s="87"/>
      <c r="HP128" s="87"/>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s="88" customFormat="1" ht="51" customHeight="1" x14ac:dyDescent="0.45">
      <c r="A129" s="155"/>
      <c r="B129" s="189"/>
      <c r="C129" s="189"/>
      <c r="D129" s="155"/>
      <c r="E129" s="4" t="s">
        <v>38</v>
      </c>
      <c r="F129" s="7" t="s">
        <v>589</v>
      </c>
      <c r="G129" s="112">
        <v>5</v>
      </c>
      <c r="H129" s="155"/>
      <c r="I129" s="155"/>
      <c r="J129" s="155"/>
      <c r="K129" s="179"/>
      <c r="L129" s="4">
        <f>G129*I128*K128</f>
        <v>80</v>
      </c>
      <c r="M129" s="181"/>
      <c r="N129" s="155"/>
      <c r="O129" s="98"/>
      <c r="P129" s="154"/>
      <c r="Q129" s="154"/>
      <c r="R129" s="112"/>
      <c r="S129" s="95"/>
      <c r="T129" s="7"/>
      <c r="U129" s="93"/>
      <c r="V129" s="114"/>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87"/>
      <c r="EM129" s="87"/>
      <c r="EN129" s="87"/>
      <c r="EO129" s="87"/>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c r="FL129" s="87"/>
      <c r="FM129" s="87"/>
      <c r="FN129" s="87"/>
      <c r="FO129" s="87"/>
      <c r="FP129" s="87"/>
      <c r="FQ129" s="87"/>
      <c r="FR129" s="87"/>
      <c r="FS129" s="87"/>
      <c r="FT129" s="87"/>
      <c r="FU129" s="87"/>
      <c r="FV129" s="87"/>
      <c r="FW129" s="87"/>
      <c r="FX129" s="87"/>
      <c r="FY129" s="87"/>
      <c r="FZ129" s="87"/>
      <c r="GA129" s="87"/>
      <c r="GB129" s="87"/>
      <c r="GC129" s="87"/>
      <c r="GD129" s="87"/>
      <c r="GE129" s="87"/>
      <c r="GF129" s="87"/>
      <c r="GG129" s="87"/>
      <c r="GH129" s="87"/>
      <c r="GI129" s="87"/>
      <c r="GJ129" s="87"/>
      <c r="GK129" s="87"/>
      <c r="GL129" s="87"/>
      <c r="GM129" s="87"/>
      <c r="GN129" s="87"/>
      <c r="GO129" s="87"/>
      <c r="GP129" s="87"/>
      <c r="GQ129" s="87"/>
      <c r="GR129" s="87"/>
      <c r="GS129" s="87"/>
      <c r="GT129" s="87"/>
      <c r="GU129" s="87"/>
      <c r="GV129" s="87"/>
      <c r="GW129" s="87"/>
      <c r="GX129" s="87"/>
      <c r="GY129" s="87"/>
      <c r="GZ129" s="87"/>
      <c r="HA129" s="87"/>
      <c r="HB129" s="87"/>
      <c r="HC129" s="87"/>
      <c r="HD129" s="87"/>
      <c r="HE129" s="87"/>
      <c r="HF129" s="87"/>
      <c r="HG129" s="87"/>
      <c r="HH129" s="87"/>
      <c r="HI129" s="87"/>
      <c r="HJ129" s="87"/>
      <c r="HK129" s="87"/>
      <c r="HL129" s="87"/>
      <c r="HM129" s="87"/>
      <c r="HN129" s="87"/>
      <c r="HO129" s="87"/>
      <c r="HP129" s="87"/>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s="88" customFormat="1" ht="51" customHeight="1" x14ac:dyDescent="0.45">
      <c r="A130" s="155"/>
      <c r="B130" s="189"/>
      <c r="C130" s="189"/>
      <c r="D130" s="155"/>
      <c r="E130" s="7" t="s">
        <v>40</v>
      </c>
      <c r="F130" s="4" t="s">
        <v>590</v>
      </c>
      <c r="G130" s="7">
        <v>2</v>
      </c>
      <c r="H130" s="155"/>
      <c r="I130" s="155"/>
      <c r="J130" s="155"/>
      <c r="K130" s="179"/>
      <c r="L130" s="4">
        <f>G130*I128*K128</f>
        <v>32</v>
      </c>
      <c r="M130" s="181"/>
      <c r="N130" s="155"/>
      <c r="O130" s="98"/>
      <c r="P130" s="154"/>
      <c r="Q130" s="154"/>
      <c r="R130" s="7"/>
      <c r="S130" s="95"/>
      <c r="T130" s="7"/>
      <c r="U130" s="93"/>
      <c r="V130" s="114"/>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87"/>
      <c r="EM130" s="87"/>
      <c r="EN130" s="87"/>
      <c r="EO130" s="87"/>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c r="FL130" s="87"/>
      <c r="FM130" s="87"/>
      <c r="FN130" s="87"/>
      <c r="FO130" s="87"/>
      <c r="FP130" s="87"/>
      <c r="FQ130" s="87"/>
      <c r="FR130" s="87"/>
      <c r="FS130" s="87"/>
      <c r="FT130" s="87"/>
      <c r="FU130" s="87"/>
      <c r="FV130" s="87"/>
      <c r="FW130" s="87"/>
      <c r="FX130" s="87"/>
      <c r="FY130" s="87"/>
      <c r="FZ130" s="87"/>
      <c r="GA130" s="87"/>
      <c r="GB130" s="87"/>
      <c r="GC130" s="87"/>
      <c r="GD130" s="87"/>
      <c r="GE130" s="87"/>
      <c r="GF130" s="87"/>
      <c r="GG130" s="87"/>
      <c r="GH130" s="87"/>
      <c r="GI130" s="87"/>
      <c r="GJ130" s="87"/>
      <c r="GK130" s="87"/>
      <c r="GL130" s="87"/>
      <c r="GM130" s="87"/>
      <c r="GN130" s="87"/>
      <c r="GO130" s="87"/>
      <c r="GP130" s="87"/>
      <c r="GQ130" s="87"/>
      <c r="GR130" s="87"/>
      <c r="GS130" s="87"/>
      <c r="GT130" s="87"/>
      <c r="GU130" s="87"/>
      <c r="GV130" s="87"/>
      <c r="GW130" s="87"/>
      <c r="GX130" s="87"/>
      <c r="GY130" s="87"/>
      <c r="GZ130" s="87"/>
      <c r="HA130" s="87"/>
      <c r="HB130" s="87"/>
      <c r="HC130" s="87"/>
      <c r="HD130" s="87"/>
      <c r="HE130" s="87"/>
      <c r="HF130" s="87"/>
      <c r="HG130" s="87"/>
      <c r="HH130" s="87"/>
      <c r="HI130" s="87"/>
      <c r="HJ130" s="87"/>
      <c r="HK130" s="87"/>
      <c r="HL130" s="87"/>
      <c r="HM130" s="87"/>
      <c r="HN130" s="87"/>
      <c r="HO130" s="87"/>
      <c r="HP130" s="87"/>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s="88" customFormat="1" ht="30" customHeight="1" x14ac:dyDescent="0.45">
      <c r="A131" s="155" t="s">
        <v>594</v>
      </c>
      <c r="B131" s="190" t="s">
        <v>595</v>
      </c>
      <c r="C131" s="190"/>
      <c r="D131" s="155" t="s">
        <v>585</v>
      </c>
      <c r="E131" s="4" t="s">
        <v>30</v>
      </c>
      <c r="F131" s="4" t="s">
        <v>586</v>
      </c>
      <c r="G131" s="112">
        <v>2</v>
      </c>
      <c r="H131" s="155" t="s">
        <v>587</v>
      </c>
      <c r="I131" s="173">
        <v>2</v>
      </c>
      <c r="J131" s="155" t="s">
        <v>588</v>
      </c>
      <c r="K131" s="178">
        <v>8</v>
      </c>
      <c r="L131" s="4">
        <f>G131*I131*K131</f>
        <v>32</v>
      </c>
      <c r="M131" s="181" t="s">
        <v>331</v>
      </c>
      <c r="N131" s="155"/>
      <c r="O131" s="98"/>
      <c r="P131" s="154"/>
      <c r="Q131" s="154"/>
      <c r="R131" s="112"/>
      <c r="S131" s="95"/>
      <c r="T131" s="7"/>
      <c r="U131" s="93"/>
      <c r="V131" s="4"/>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87"/>
      <c r="EM131" s="87"/>
      <c r="EN131" s="87"/>
      <c r="EO131" s="87"/>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c r="FL131" s="87"/>
      <c r="FM131" s="87"/>
      <c r="FN131" s="87"/>
      <c r="FO131" s="87"/>
      <c r="FP131" s="87"/>
      <c r="FQ131" s="87"/>
      <c r="FR131" s="87"/>
      <c r="FS131" s="87"/>
      <c r="FT131" s="87"/>
      <c r="FU131" s="87"/>
      <c r="FV131" s="87"/>
      <c r="FW131" s="87"/>
      <c r="FX131" s="87"/>
      <c r="FY131" s="87"/>
      <c r="FZ131" s="87"/>
      <c r="GA131" s="87"/>
      <c r="GB131" s="87"/>
      <c r="GC131" s="87"/>
      <c r="GD131" s="87"/>
      <c r="GE131" s="87"/>
      <c r="GF131" s="87"/>
      <c r="GG131" s="87"/>
      <c r="GH131" s="87"/>
      <c r="GI131" s="87"/>
      <c r="GJ131" s="87"/>
      <c r="GK131" s="87"/>
      <c r="GL131" s="87"/>
      <c r="GM131" s="87"/>
      <c r="GN131" s="87"/>
      <c r="GO131" s="87"/>
      <c r="GP131" s="87"/>
      <c r="GQ131" s="87"/>
      <c r="GR131" s="87"/>
      <c r="GS131" s="87"/>
      <c r="GT131" s="87"/>
      <c r="GU131" s="87"/>
      <c r="GV131" s="87"/>
      <c r="GW131" s="87"/>
      <c r="GX131" s="87"/>
      <c r="GY131" s="87"/>
      <c r="GZ131" s="87"/>
      <c r="HA131" s="87"/>
      <c r="HB131" s="87"/>
      <c r="HC131" s="87"/>
      <c r="HD131" s="87"/>
      <c r="HE131" s="87"/>
      <c r="HF131" s="87"/>
      <c r="HG131" s="87"/>
      <c r="HH131" s="87"/>
      <c r="HI131" s="87"/>
      <c r="HJ131" s="87"/>
      <c r="HK131" s="87"/>
      <c r="HL131" s="87"/>
      <c r="HM131" s="87"/>
      <c r="HN131" s="87"/>
      <c r="HO131"/>
      <c r="HP131"/>
      <c r="HQ131"/>
      <c r="HR131"/>
      <c r="HS131"/>
    </row>
    <row r="132" spans="1:256" s="88" customFormat="1" ht="30" customHeight="1" x14ac:dyDescent="0.45">
      <c r="A132" s="155"/>
      <c r="B132" s="190"/>
      <c r="C132" s="190"/>
      <c r="D132" s="155"/>
      <c r="E132" s="4" t="s">
        <v>38</v>
      </c>
      <c r="F132" s="7" t="s">
        <v>589</v>
      </c>
      <c r="G132" s="112">
        <v>5</v>
      </c>
      <c r="H132" s="155"/>
      <c r="I132" s="173"/>
      <c r="J132" s="155"/>
      <c r="K132" s="178"/>
      <c r="L132" s="4">
        <f>G132*I131*K131</f>
        <v>80</v>
      </c>
      <c r="M132" s="181"/>
      <c r="N132" s="155"/>
      <c r="O132" s="98"/>
      <c r="P132" s="154"/>
      <c r="Q132" s="154"/>
      <c r="R132" s="112"/>
      <c r="S132" s="95"/>
      <c r="T132" s="7"/>
      <c r="U132" s="93"/>
      <c r="V132" s="4"/>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87"/>
      <c r="EM132" s="87"/>
      <c r="EN132" s="87"/>
      <c r="EO132" s="87"/>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c r="FL132" s="87"/>
      <c r="FM132" s="87"/>
      <c r="FN132" s="87"/>
      <c r="FO132" s="87"/>
      <c r="FP132" s="87"/>
      <c r="FQ132" s="87"/>
      <c r="FR132" s="87"/>
      <c r="FS132" s="87"/>
      <c r="FT132" s="87"/>
      <c r="FU132" s="87"/>
      <c r="FV132" s="87"/>
      <c r="FW132" s="87"/>
      <c r="FX132" s="87"/>
      <c r="FY132" s="87"/>
      <c r="FZ132" s="87"/>
      <c r="GA132" s="87"/>
      <c r="GB132" s="87"/>
      <c r="GC132" s="87"/>
      <c r="GD132" s="87"/>
      <c r="GE132" s="87"/>
      <c r="GF132" s="87"/>
      <c r="GG132" s="87"/>
      <c r="GH132" s="87"/>
      <c r="GI132" s="87"/>
      <c r="GJ132" s="87"/>
      <c r="GK132" s="87"/>
      <c r="GL132" s="87"/>
      <c r="GM132" s="87"/>
      <c r="GN132" s="87"/>
      <c r="GO132" s="87"/>
      <c r="GP132" s="87"/>
      <c r="GQ132" s="87"/>
      <c r="GR132" s="87"/>
      <c r="GS132" s="87"/>
      <c r="GT132" s="87"/>
      <c r="GU132" s="87"/>
      <c r="GV132" s="87"/>
      <c r="GW132" s="87"/>
      <c r="GX132" s="87"/>
      <c r="GY132" s="87"/>
      <c r="GZ132" s="87"/>
      <c r="HA132" s="87"/>
      <c r="HB132" s="87"/>
      <c r="HC132" s="87"/>
      <c r="HD132" s="87"/>
      <c r="HE132" s="87"/>
      <c r="HF132" s="87"/>
      <c r="HG132" s="87"/>
      <c r="HH132" s="87"/>
      <c r="HI132" s="87"/>
      <c r="HJ132" s="87"/>
      <c r="HK132" s="87"/>
      <c r="HL132" s="87"/>
      <c r="HM132" s="87"/>
      <c r="HN132" s="87"/>
      <c r="HO132"/>
      <c r="HP132"/>
      <c r="HQ132"/>
      <c r="HR132"/>
      <c r="HS132"/>
    </row>
    <row r="133" spans="1:256" s="88" customFormat="1" ht="27" customHeight="1" x14ac:dyDescent="0.45">
      <c r="A133" s="155"/>
      <c r="B133" s="190"/>
      <c r="C133" s="190"/>
      <c r="D133" s="155"/>
      <c r="E133" s="7" t="s">
        <v>40</v>
      </c>
      <c r="F133" s="4" t="s">
        <v>590</v>
      </c>
      <c r="G133" s="7">
        <v>2</v>
      </c>
      <c r="H133" s="155"/>
      <c r="I133" s="173"/>
      <c r="J133" s="155"/>
      <c r="K133" s="178"/>
      <c r="L133" s="4">
        <f>G133*I131*K131</f>
        <v>32</v>
      </c>
      <c r="M133" s="181"/>
      <c r="N133" s="155"/>
      <c r="O133" s="98"/>
      <c r="P133" s="154"/>
      <c r="Q133" s="154"/>
      <c r="R133" s="7"/>
      <c r="S133" s="95"/>
      <c r="T133" s="7"/>
      <c r="U133" s="93"/>
      <c r="V133" s="7"/>
    </row>
    <row r="134" spans="1:256" s="88" customFormat="1" ht="30" customHeight="1" x14ac:dyDescent="0.45">
      <c r="A134" s="155"/>
      <c r="B134" s="190"/>
      <c r="C134" s="190"/>
      <c r="D134" s="155" t="s">
        <v>591</v>
      </c>
      <c r="E134" s="4" t="s">
        <v>30</v>
      </c>
      <c r="F134" s="4" t="s">
        <v>586</v>
      </c>
      <c r="G134" s="112">
        <v>2</v>
      </c>
      <c r="H134" s="155" t="s">
        <v>592</v>
      </c>
      <c r="I134" s="155">
        <v>2</v>
      </c>
      <c r="J134" s="155" t="s">
        <v>593</v>
      </c>
      <c r="K134" s="179">
        <v>8</v>
      </c>
      <c r="L134" s="4">
        <f>G134*I134*K134</f>
        <v>32</v>
      </c>
      <c r="M134" s="181"/>
      <c r="N134" s="155"/>
      <c r="O134" s="98"/>
      <c r="P134" s="154"/>
      <c r="Q134" s="154"/>
      <c r="R134" s="112"/>
      <c r="S134" s="95"/>
      <c r="T134" s="7"/>
      <c r="U134" s="93"/>
      <c r="V134" s="7"/>
    </row>
    <row r="135" spans="1:256" s="88" customFormat="1" ht="30" customHeight="1" x14ac:dyDescent="0.45">
      <c r="A135" s="155"/>
      <c r="B135" s="190"/>
      <c r="C135" s="190"/>
      <c r="D135" s="155"/>
      <c r="E135" s="4" t="s">
        <v>38</v>
      </c>
      <c r="F135" s="7" t="s">
        <v>589</v>
      </c>
      <c r="G135" s="112">
        <v>5</v>
      </c>
      <c r="H135" s="155"/>
      <c r="I135" s="155"/>
      <c r="J135" s="155"/>
      <c r="K135" s="179"/>
      <c r="L135" s="4">
        <f>G135*I134*K134</f>
        <v>80</v>
      </c>
      <c r="M135" s="181"/>
      <c r="N135" s="155"/>
      <c r="O135" s="98"/>
      <c r="P135" s="154"/>
      <c r="Q135" s="154"/>
      <c r="R135" s="112"/>
      <c r="S135" s="95"/>
      <c r="T135" s="7"/>
      <c r="U135" s="93"/>
      <c r="V135" s="7"/>
    </row>
    <row r="136" spans="1:256" s="88" customFormat="1" ht="30" customHeight="1" x14ac:dyDescent="0.45">
      <c r="A136" s="155"/>
      <c r="B136" s="190"/>
      <c r="C136" s="190"/>
      <c r="D136" s="155"/>
      <c r="E136" s="7" t="s">
        <v>40</v>
      </c>
      <c r="F136" s="4" t="s">
        <v>590</v>
      </c>
      <c r="G136" s="7">
        <v>2</v>
      </c>
      <c r="H136" s="155"/>
      <c r="I136" s="155"/>
      <c r="J136" s="155"/>
      <c r="K136" s="179"/>
      <c r="L136" s="4">
        <f>G136*I134*K134</f>
        <v>32</v>
      </c>
      <c r="M136" s="181"/>
      <c r="N136" s="155"/>
      <c r="O136" s="98"/>
      <c r="P136" s="154"/>
      <c r="Q136" s="154"/>
      <c r="R136" s="7"/>
      <c r="S136" s="95"/>
      <c r="T136" s="7"/>
      <c r="U136" s="93"/>
      <c r="V136" s="7"/>
    </row>
    <row r="137" spans="1:256" s="87" customFormat="1" ht="45" customHeight="1" x14ac:dyDescent="0.45">
      <c r="A137" s="155" t="s">
        <v>596</v>
      </c>
      <c r="B137" s="156" t="s">
        <v>597</v>
      </c>
      <c r="C137" s="156"/>
      <c r="D137" s="155" t="s">
        <v>598</v>
      </c>
      <c r="E137" s="4" t="s">
        <v>30</v>
      </c>
      <c r="F137" s="4" t="s">
        <v>599</v>
      </c>
      <c r="G137" s="4">
        <v>2</v>
      </c>
      <c r="H137" s="155" t="s">
        <v>600</v>
      </c>
      <c r="I137" s="4">
        <v>3</v>
      </c>
      <c r="J137" s="160" t="s">
        <v>601</v>
      </c>
      <c r="K137" s="7">
        <v>8</v>
      </c>
      <c r="L137" s="7">
        <f t="shared" ref="L137:L150" si="11">G137*I137*K137</f>
        <v>48</v>
      </c>
      <c r="M137" s="165" t="s">
        <v>331</v>
      </c>
      <c r="N137" s="46"/>
      <c r="O137" s="46"/>
      <c r="P137" s="155"/>
      <c r="Q137" s="155"/>
      <c r="R137" s="93"/>
      <c r="S137" s="93"/>
      <c r="T137" s="93"/>
      <c r="U137" s="93"/>
      <c r="V137" s="93"/>
      <c r="HU137"/>
      <c r="HV137"/>
      <c r="HW137"/>
      <c r="HX137"/>
    </row>
    <row r="138" spans="1:256" s="87" customFormat="1" ht="45" customHeight="1" x14ac:dyDescent="0.45">
      <c r="A138" s="155"/>
      <c r="B138" s="156"/>
      <c r="C138" s="156"/>
      <c r="D138" s="155"/>
      <c r="E138" s="4" t="s">
        <v>38</v>
      </c>
      <c r="F138" s="4" t="s">
        <v>602</v>
      </c>
      <c r="G138" s="4">
        <v>3</v>
      </c>
      <c r="H138" s="155"/>
      <c r="I138" s="4">
        <v>3</v>
      </c>
      <c r="J138" s="160"/>
      <c r="K138" s="7">
        <v>8</v>
      </c>
      <c r="L138" s="7">
        <f t="shared" si="11"/>
        <v>72</v>
      </c>
      <c r="M138" s="166"/>
      <c r="N138" s="46"/>
      <c r="O138" s="46"/>
      <c r="P138" s="155"/>
      <c r="Q138" s="155"/>
      <c r="R138" s="93"/>
      <c r="S138" s="93"/>
      <c r="T138" s="93"/>
      <c r="U138" s="93"/>
      <c r="V138" s="93"/>
      <c r="HU138"/>
      <c r="HV138"/>
      <c r="HW138"/>
      <c r="HX138"/>
    </row>
    <row r="139" spans="1:256" ht="45" customHeight="1" x14ac:dyDescent="0.45">
      <c r="A139" s="155"/>
      <c r="B139" s="156"/>
      <c r="C139" s="156"/>
      <c r="D139" s="155"/>
      <c r="E139" s="4" t="s">
        <v>40</v>
      </c>
      <c r="F139" s="4" t="s">
        <v>603</v>
      </c>
      <c r="G139" s="4">
        <v>2</v>
      </c>
      <c r="H139" s="155"/>
      <c r="I139" s="4">
        <v>1</v>
      </c>
      <c r="J139" s="160"/>
      <c r="K139" s="7">
        <v>8</v>
      </c>
      <c r="L139" s="7">
        <f t="shared" si="11"/>
        <v>16</v>
      </c>
      <c r="M139" s="167"/>
      <c r="N139" s="46"/>
      <c r="O139" s="46"/>
      <c r="P139" s="155"/>
      <c r="Q139" s="155"/>
      <c r="R139" s="93"/>
      <c r="S139" s="93"/>
      <c r="T139" s="93"/>
      <c r="U139" s="93"/>
      <c r="V139" s="93"/>
      <c r="HQ139" s="87"/>
      <c r="HR139" s="87"/>
      <c r="HS139" s="87"/>
      <c r="HT139" s="87"/>
    </row>
    <row r="140" spans="1:256" ht="45" customHeight="1" x14ac:dyDescent="0.45">
      <c r="A140" s="155" t="s">
        <v>604</v>
      </c>
      <c r="B140" s="156" t="s">
        <v>605</v>
      </c>
      <c r="C140" s="156"/>
      <c r="D140" s="155" t="s">
        <v>606</v>
      </c>
      <c r="E140" s="4" t="s">
        <v>30</v>
      </c>
      <c r="F140" s="4" t="s">
        <v>607</v>
      </c>
      <c r="G140" s="4">
        <v>2</v>
      </c>
      <c r="H140" s="155" t="s">
        <v>600</v>
      </c>
      <c r="I140" s="4">
        <v>3</v>
      </c>
      <c r="J140" s="160" t="s">
        <v>608</v>
      </c>
      <c r="K140" s="7">
        <v>8</v>
      </c>
      <c r="L140" s="7">
        <f t="shared" si="11"/>
        <v>48</v>
      </c>
      <c r="M140" s="181" t="s">
        <v>331</v>
      </c>
      <c r="N140" s="46"/>
      <c r="O140" s="46"/>
      <c r="P140" s="155"/>
      <c r="Q140" s="155"/>
      <c r="R140" s="93"/>
      <c r="S140" s="93"/>
      <c r="T140" s="93"/>
      <c r="U140" s="93"/>
      <c r="V140" s="93"/>
      <c r="HQ140" s="87"/>
      <c r="HR140" s="87"/>
      <c r="HS140" s="87"/>
      <c r="HT140" s="87"/>
    </row>
    <row r="141" spans="1:256" ht="45" customHeight="1" x14ac:dyDescent="0.45">
      <c r="A141" s="155"/>
      <c r="B141" s="156"/>
      <c r="C141" s="156"/>
      <c r="D141" s="155"/>
      <c r="E141" s="4" t="s">
        <v>38</v>
      </c>
      <c r="F141" s="4" t="s">
        <v>602</v>
      </c>
      <c r="G141" s="4">
        <v>3</v>
      </c>
      <c r="H141" s="155"/>
      <c r="I141" s="4">
        <v>3</v>
      </c>
      <c r="J141" s="160"/>
      <c r="K141" s="7">
        <v>8</v>
      </c>
      <c r="L141" s="7">
        <f t="shared" si="11"/>
        <v>72</v>
      </c>
      <c r="M141" s="181"/>
      <c r="N141" s="46"/>
      <c r="O141" s="46"/>
      <c r="P141" s="155"/>
      <c r="Q141" s="155"/>
      <c r="R141" s="93"/>
      <c r="S141" s="93"/>
      <c r="T141" s="93"/>
      <c r="U141" s="93"/>
      <c r="V141" s="93"/>
      <c r="HQ141" s="87"/>
      <c r="HR141" s="87"/>
      <c r="HS141" s="87"/>
      <c r="HT141" s="87"/>
    </row>
    <row r="142" spans="1:256" ht="45" customHeight="1" x14ac:dyDescent="0.45">
      <c r="A142" s="155"/>
      <c r="B142" s="156"/>
      <c r="C142" s="156"/>
      <c r="D142" s="155"/>
      <c r="E142" s="4" t="s">
        <v>40</v>
      </c>
      <c r="F142" s="4" t="s">
        <v>609</v>
      </c>
      <c r="G142" s="4">
        <v>2</v>
      </c>
      <c r="H142" s="155"/>
      <c r="I142" s="4">
        <v>1</v>
      </c>
      <c r="J142" s="160"/>
      <c r="K142" s="7">
        <v>8</v>
      </c>
      <c r="L142" s="7">
        <f t="shared" si="11"/>
        <v>16</v>
      </c>
      <c r="M142" s="181"/>
      <c r="N142" s="46"/>
      <c r="O142" s="46"/>
      <c r="P142" s="155"/>
      <c r="Q142" s="155"/>
      <c r="R142" s="93"/>
      <c r="S142" s="93"/>
      <c r="T142" s="93"/>
      <c r="U142" s="93"/>
      <c r="V142" s="93"/>
      <c r="HQ142" s="87"/>
      <c r="HR142" s="87"/>
      <c r="HS142" s="87"/>
      <c r="HT142" s="87"/>
    </row>
    <row r="143" spans="1:256" ht="45" customHeight="1" x14ac:dyDescent="0.45">
      <c r="A143" s="155" t="s">
        <v>610</v>
      </c>
      <c r="B143" s="154" t="s">
        <v>256</v>
      </c>
      <c r="C143" s="154"/>
      <c r="D143" s="154" t="s">
        <v>257</v>
      </c>
      <c r="E143" s="4" t="s">
        <v>30</v>
      </c>
      <c r="F143" s="4" t="s">
        <v>41</v>
      </c>
      <c r="G143" s="4">
        <v>3</v>
      </c>
      <c r="H143" s="154" t="s">
        <v>611</v>
      </c>
      <c r="I143" s="4">
        <v>1</v>
      </c>
      <c r="J143" s="174" t="s">
        <v>608</v>
      </c>
      <c r="K143" s="7">
        <v>8</v>
      </c>
      <c r="L143" s="4">
        <f t="shared" si="11"/>
        <v>24</v>
      </c>
      <c r="M143" s="181" t="s">
        <v>331</v>
      </c>
      <c r="N143" s="46"/>
      <c r="O143" s="46"/>
      <c r="P143" s="155"/>
      <c r="Q143" s="155"/>
      <c r="R143" s="93"/>
      <c r="S143" s="93"/>
      <c r="T143" s="93"/>
      <c r="U143" s="93"/>
      <c r="V143" s="93"/>
      <c r="HQ143" s="87"/>
      <c r="HR143" s="87"/>
      <c r="HS143" s="87"/>
      <c r="HT143" s="87"/>
    </row>
    <row r="144" spans="1:256" ht="45" customHeight="1" x14ac:dyDescent="0.45">
      <c r="A144" s="155"/>
      <c r="B144" s="154"/>
      <c r="C144" s="154"/>
      <c r="D144" s="154"/>
      <c r="E144" s="4" t="s">
        <v>38</v>
      </c>
      <c r="F144" s="4" t="s">
        <v>602</v>
      </c>
      <c r="G144" s="4">
        <v>3</v>
      </c>
      <c r="H144" s="154"/>
      <c r="I144" s="4">
        <v>1</v>
      </c>
      <c r="J144" s="174"/>
      <c r="K144" s="7">
        <v>8</v>
      </c>
      <c r="L144" s="4">
        <f t="shared" si="11"/>
        <v>24</v>
      </c>
      <c r="M144" s="181"/>
      <c r="N144" s="46"/>
      <c r="O144" s="46"/>
      <c r="P144" s="155"/>
      <c r="Q144" s="155"/>
      <c r="R144" s="93"/>
      <c r="S144" s="93"/>
      <c r="T144" s="93"/>
      <c r="U144" s="93"/>
      <c r="V144" s="93"/>
      <c r="HQ144" s="87"/>
      <c r="HR144" s="87"/>
      <c r="HS144" s="87"/>
      <c r="HT144" s="87"/>
    </row>
    <row r="145" spans="1:256" ht="45" customHeight="1" x14ac:dyDescent="0.45">
      <c r="A145" s="155"/>
      <c r="B145" s="154"/>
      <c r="C145" s="154"/>
      <c r="D145" s="154"/>
      <c r="E145" s="4" t="s">
        <v>40</v>
      </c>
      <c r="F145" s="4" t="s">
        <v>41</v>
      </c>
      <c r="G145" s="4">
        <v>3</v>
      </c>
      <c r="H145" s="154"/>
      <c r="I145" s="4">
        <v>1</v>
      </c>
      <c r="J145" s="174"/>
      <c r="K145" s="7">
        <v>8</v>
      </c>
      <c r="L145" s="4">
        <f t="shared" si="11"/>
        <v>24</v>
      </c>
      <c r="M145" s="181"/>
      <c r="N145" s="46"/>
      <c r="O145" s="46"/>
      <c r="P145" s="155"/>
      <c r="Q145" s="155"/>
      <c r="R145" s="93"/>
      <c r="S145" s="93"/>
      <c r="T145" s="93"/>
      <c r="U145" s="93"/>
      <c r="V145" s="93"/>
      <c r="HQ145" s="87"/>
      <c r="HR145" s="87"/>
      <c r="HS145" s="87"/>
      <c r="HT145" s="87"/>
    </row>
    <row r="146" spans="1:256" ht="45" customHeight="1" x14ac:dyDescent="0.45">
      <c r="A146" s="155"/>
      <c r="B146" s="154" t="s">
        <v>259</v>
      </c>
      <c r="C146" s="154"/>
      <c r="D146" s="154" t="s">
        <v>260</v>
      </c>
      <c r="E146" s="4" t="s">
        <v>30</v>
      </c>
      <c r="F146" s="4" t="s">
        <v>41</v>
      </c>
      <c r="G146" s="4">
        <v>3</v>
      </c>
      <c r="H146" s="154" t="s">
        <v>611</v>
      </c>
      <c r="I146" s="4">
        <v>1</v>
      </c>
      <c r="J146" s="174"/>
      <c r="K146" s="7">
        <v>8</v>
      </c>
      <c r="L146" s="4">
        <f t="shared" si="11"/>
        <v>24</v>
      </c>
      <c r="M146" s="181"/>
      <c r="N146" s="46"/>
      <c r="O146" s="46"/>
      <c r="P146" s="155"/>
      <c r="Q146" s="155"/>
      <c r="R146" s="93"/>
      <c r="S146" s="93"/>
      <c r="T146" s="93"/>
      <c r="U146" s="93"/>
      <c r="V146" s="93"/>
      <c r="HQ146" s="87"/>
      <c r="HR146" s="87"/>
      <c r="HS146" s="87"/>
      <c r="HT146" s="87"/>
    </row>
    <row r="147" spans="1:256" ht="45" customHeight="1" x14ac:dyDescent="0.45">
      <c r="A147" s="155"/>
      <c r="B147" s="154"/>
      <c r="C147" s="154"/>
      <c r="D147" s="154"/>
      <c r="E147" s="4" t="s">
        <v>38</v>
      </c>
      <c r="F147" s="4" t="s">
        <v>602</v>
      </c>
      <c r="G147" s="4">
        <v>3</v>
      </c>
      <c r="H147" s="154"/>
      <c r="I147" s="4">
        <v>1</v>
      </c>
      <c r="J147" s="174"/>
      <c r="K147" s="7">
        <v>8</v>
      </c>
      <c r="L147" s="4">
        <f t="shared" si="11"/>
        <v>24</v>
      </c>
      <c r="M147" s="181"/>
      <c r="N147" s="46"/>
      <c r="O147" s="46"/>
      <c r="P147" s="155"/>
      <c r="Q147" s="155"/>
      <c r="R147" s="93"/>
      <c r="S147" s="93"/>
      <c r="T147" s="93"/>
      <c r="U147" s="93"/>
      <c r="V147" s="93"/>
      <c r="HQ147" s="87"/>
      <c r="HR147" s="87"/>
      <c r="HS147" s="87"/>
      <c r="HT147" s="87"/>
    </row>
    <row r="148" spans="1:256" ht="45" customHeight="1" x14ac:dyDescent="0.45">
      <c r="A148" s="155"/>
      <c r="B148" s="154"/>
      <c r="C148" s="154"/>
      <c r="D148" s="154"/>
      <c r="E148" s="4" t="s">
        <v>40</v>
      </c>
      <c r="F148" s="4" t="s">
        <v>41</v>
      </c>
      <c r="G148" s="4">
        <v>3</v>
      </c>
      <c r="H148" s="154"/>
      <c r="I148" s="4">
        <v>1</v>
      </c>
      <c r="J148" s="174"/>
      <c r="K148" s="7">
        <v>8</v>
      </c>
      <c r="L148" s="4">
        <f t="shared" si="11"/>
        <v>24</v>
      </c>
      <c r="M148" s="181"/>
      <c r="N148" s="46"/>
      <c r="O148" s="46"/>
      <c r="P148" s="155"/>
      <c r="Q148" s="155"/>
      <c r="R148" s="93"/>
      <c r="S148" s="93"/>
      <c r="T148" s="93"/>
      <c r="U148" s="93"/>
      <c r="V148" s="93"/>
      <c r="HQ148" s="87"/>
      <c r="HR148" s="87"/>
      <c r="HS148" s="87"/>
      <c r="HT148" s="87"/>
    </row>
    <row r="149" spans="1:256" s="87" customFormat="1" ht="39" customHeight="1" x14ac:dyDescent="0.45">
      <c r="A149" s="155" t="s">
        <v>612</v>
      </c>
      <c r="B149" s="155" t="s">
        <v>613</v>
      </c>
      <c r="C149" s="155"/>
      <c r="D149" s="7" t="s">
        <v>614</v>
      </c>
      <c r="E149" s="7" t="s">
        <v>30</v>
      </c>
      <c r="F149" s="7" t="s">
        <v>41</v>
      </c>
      <c r="G149" s="7">
        <v>4</v>
      </c>
      <c r="H149" s="7" t="s">
        <v>615</v>
      </c>
      <c r="I149" s="7">
        <v>4</v>
      </c>
      <c r="J149" s="160" t="s">
        <v>608</v>
      </c>
      <c r="K149" s="7">
        <v>8</v>
      </c>
      <c r="L149" s="7">
        <f t="shared" si="11"/>
        <v>128</v>
      </c>
      <c r="M149" s="181" t="s">
        <v>331</v>
      </c>
      <c r="N149" s="7"/>
      <c r="O149" s="46"/>
      <c r="P149" s="155"/>
      <c r="Q149" s="155"/>
      <c r="R149" s="93"/>
      <c r="S149" s="93"/>
      <c r="T149" s="93"/>
      <c r="U149" s="93"/>
      <c r="V149" s="93"/>
      <c r="HU149"/>
      <c r="HV149"/>
      <c r="HW149"/>
      <c r="HX149"/>
    </row>
    <row r="150" spans="1:256" s="87" customFormat="1" ht="40" customHeight="1" x14ac:dyDescent="0.45">
      <c r="A150" s="155"/>
      <c r="B150" s="155"/>
      <c r="C150" s="155"/>
      <c r="D150" s="7" t="s">
        <v>284</v>
      </c>
      <c r="E150" s="7" t="s">
        <v>30</v>
      </c>
      <c r="F150" s="7" t="s">
        <v>41</v>
      </c>
      <c r="G150" s="7">
        <v>4</v>
      </c>
      <c r="H150" s="7" t="s">
        <v>616</v>
      </c>
      <c r="I150" s="7">
        <v>4</v>
      </c>
      <c r="J150" s="160"/>
      <c r="K150" s="7">
        <v>8</v>
      </c>
      <c r="L150" s="7">
        <f t="shared" si="11"/>
        <v>128</v>
      </c>
      <c r="M150" s="181"/>
      <c r="N150" s="7"/>
      <c r="O150" s="46"/>
      <c r="P150" s="155"/>
      <c r="Q150" s="155"/>
      <c r="R150" s="93"/>
      <c r="S150" s="93"/>
      <c r="T150" s="93"/>
      <c r="U150" s="93"/>
      <c r="V150" s="93"/>
      <c r="HU150"/>
      <c r="HV150"/>
      <c r="HW150"/>
      <c r="HX150"/>
    </row>
    <row r="151" spans="1:256" s="87" customFormat="1" ht="33" customHeight="1" x14ac:dyDescent="0.45">
      <c r="A151" s="155" t="s">
        <v>617</v>
      </c>
      <c r="B151" s="155" t="s">
        <v>618</v>
      </c>
      <c r="C151" s="155"/>
      <c r="D151" s="155" t="s">
        <v>619</v>
      </c>
      <c r="E151" s="4" t="s">
        <v>30</v>
      </c>
      <c r="F151" s="4" t="s">
        <v>41</v>
      </c>
      <c r="G151" s="4">
        <v>2</v>
      </c>
      <c r="H151" s="154" t="s">
        <v>600</v>
      </c>
      <c r="I151" s="4">
        <v>3</v>
      </c>
      <c r="J151" s="174" t="s">
        <v>608</v>
      </c>
      <c r="K151" s="7">
        <v>7</v>
      </c>
      <c r="L151" s="4">
        <f t="shared" ref="L151:L157" si="12">G151*I151*K151</f>
        <v>42</v>
      </c>
      <c r="M151" s="155" t="s">
        <v>331</v>
      </c>
      <c r="N151" s="46"/>
      <c r="O151" s="46"/>
      <c r="P151" s="155"/>
      <c r="Q151" s="155"/>
      <c r="R151" s="93"/>
      <c r="S151" s="93"/>
      <c r="T151" s="93"/>
      <c r="U151" s="93"/>
      <c r="V151" s="93"/>
      <c r="HS151"/>
      <c r="HT151"/>
      <c r="HU151"/>
      <c r="HV151"/>
    </row>
    <row r="152" spans="1:256" s="87" customFormat="1" ht="41.05" customHeight="1" x14ac:dyDescent="0.45">
      <c r="A152" s="155"/>
      <c r="B152" s="155"/>
      <c r="C152" s="155"/>
      <c r="D152" s="155"/>
      <c r="E152" s="4" t="s">
        <v>38</v>
      </c>
      <c r="F152" s="4" t="s">
        <v>602</v>
      </c>
      <c r="G152" s="4">
        <v>3</v>
      </c>
      <c r="H152" s="154"/>
      <c r="I152" s="4">
        <v>3</v>
      </c>
      <c r="J152" s="174"/>
      <c r="K152" s="7">
        <v>7</v>
      </c>
      <c r="L152" s="4">
        <f t="shared" si="12"/>
        <v>63</v>
      </c>
      <c r="M152" s="155"/>
      <c r="N152" s="46"/>
      <c r="O152" s="46"/>
      <c r="P152" s="155"/>
      <c r="Q152" s="155"/>
      <c r="R152" s="93"/>
      <c r="S152" s="93"/>
      <c r="T152" s="93"/>
      <c r="U152" s="93"/>
      <c r="V152" s="93"/>
      <c r="HS152"/>
      <c r="HT152"/>
      <c r="HU152"/>
      <c r="HV152"/>
    </row>
    <row r="153" spans="1:256" s="87" customFormat="1" ht="42" customHeight="1" x14ac:dyDescent="0.45">
      <c r="A153" s="155"/>
      <c r="B153" s="155"/>
      <c r="C153" s="155"/>
      <c r="D153" s="155"/>
      <c r="E153" s="4" t="s">
        <v>40</v>
      </c>
      <c r="F153" s="4" t="s">
        <v>41</v>
      </c>
      <c r="G153" s="4">
        <v>2</v>
      </c>
      <c r="H153" s="154"/>
      <c r="I153" s="4">
        <v>1</v>
      </c>
      <c r="J153" s="174"/>
      <c r="K153" s="7">
        <v>7</v>
      </c>
      <c r="L153" s="4">
        <f t="shared" si="12"/>
        <v>14</v>
      </c>
      <c r="M153" s="155"/>
      <c r="N153" s="46"/>
      <c r="O153" s="46"/>
      <c r="P153" s="155"/>
      <c r="Q153" s="155"/>
      <c r="R153" s="93"/>
      <c r="S153" s="93"/>
      <c r="T153" s="93"/>
      <c r="U153" s="93"/>
      <c r="V153" s="93"/>
      <c r="HS153"/>
      <c r="HT153"/>
      <c r="HU153"/>
      <c r="HV153"/>
    </row>
    <row r="154" spans="1:256" s="87" customFormat="1" ht="35.049999999999997" customHeight="1" x14ac:dyDescent="0.45">
      <c r="A154" s="155" t="s">
        <v>620</v>
      </c>
      <c r="B154" s="155" t="s">
        <v>621</v>
      </c>
      <c r="C154" s="155"/>
      <c r="D154" s="155" t="s">
        <v>622</v>
      </c>
      <c r="E154" s="4" t="s">
        <v>30</v>
      </c>
      <c r="F154" s="4" t="s">
        <v>41</v>
      </c>
      <c r="G154" s="4">
        <v>2</v>
      </c>
      <c r="H154" s="154" t="s">
        <v>600</v>
      </c>
      <c r="I154" s="4">
        <v>3</v>
      </c>
      <c r="J154" s="174" t="s">
        <v>608</v>
      </c>
      <c r="K154" s="7">
        <v>7</v>
      </c>
      <c r="L154" s="4">
        <f t="shared" si="12"/>
        <v>42</v>
      </c>
      <c r="M154" s="155" t="s">
        <v>331</v>
      </c>
      <c r="N154" s="46"/>
      <c r="O154" s="46"/>
      <c r="P154" s="155"/>
      <c r="Q154" s="155"/>
      <c r="R154" s="93"/>
      <c r="S154" s="93"/>
      <c r="T154" s="93"/>
      <c r="U154" s="93"/>
      <c r="V154" s="93"/>
      <c r="HS154"/>
      <c r="HT154"/>
      <c r="HU154"/>
      <c r="HV154"/>
    </row>
    <row r="155" spans="1:256" s="87" customFormat="1" ht="38.049999999999997" customHeight="1" x14ac:dyDescent="0.45">
      <c r="A155" s="155"/>
      <c r="B155" s="155"/>
      <c r="C155" s="155"/>
      <c r="D155" s="155"/>
      <c r="E155" s="4" t="s">
        <v>38</v>
      </c>
      <c r="F155" s="4" t="s">
        <v>602</v>
      </c>
      <c r="G155" s="4">
        <v>3</v>
      </c>
      <c r="H155" s="154"/>
      <c r="I155" s="4">
        <v>3</v>
      </c>
      <c r="J155" s="174"/>
      <c r="K155" s="7">
        <v>7</v>
      </c>
      <c r="L155" s="4">
        <f t="shared" si="12"/>
        <v>63</v>
      </c>
      <c r="M155" s="155"/>
      <c r="N155" s="46"/>
      <c r="O155" s="46"/>
      <c r="P155" s="155"/>
      <c r="Q155" s="155"/>
      <c r="R155" s="93"/>
      <c r="S155" s="93"/>
      <c r="T155" s="93"/>
      <c r="U155" s="93"/>
      <c r="V155" s="93"/>
      <c r="HS155"/>
      <c r="HT155"/>
      <c r="HU155"/>
      <c r="HV155"/>
    </row>
    <row r="156" spans="1:256" s="87" customFormat="1" ht="33" customHeight="1" x14ac:dyDescent="0.45">
      <c r="A156" s="155"/>
      <c r="B156" s="155"/>
      <c r="C156" s="155"/>
      <c r="D156" s="155"/>
      <c r="E156" s="4" t="s">
        <v>40</v>
      </c>
      <c r="F156" s="4" t="s">
        <v>41</v>
      </c>
      <c r="G156" s="4">
        <v>2</v>
      </c>
      <c r="H156" s="154"/>
      <c r="I156" s="4">
        <v>1</v>
      </c>
      <c r="J156" s="174"/>
      <c r="K156" s="7">
        <v>7</v>
      </c>
      <c r="L156" s="4">
        <f t="shared" si="12"/>
        <v>14</v>
      </c>
      <c r="M156" s="155"/>
      <c r="N156" s="46"/>
      <c r="O156" s="46"/>
      <c r="P156" s="155"/>
      <c r="Q156" s="155"/>
      <c r="R156" s="93"/>
      <c r="S156" s="93"/>
      <c r="T156" s="93"/>
      <c r="U156" s="93"/>
      <c r="V156" s="93"/>
      <c r="HS156"/>
      <c r="HT156"/>
      <c r="HU156"/>
      <c r="HV156"/>
    </row>
    <row r="157" spans="1:256" s="88" customFormat="1" ht="29.05" customHeight="1" x14ac:dyDescent="0.45">
      <c r="A157" s="155" t="s">
        <v>583</v>
      </c>
      <c r="B157" s="191" t="s">
        <v>623</v>
      </c>
      <c r="C157" s="191"/>
      <c r="D157" s="155" t="s">
        <v>585</v>
      </c>
      <c r="E157" s="4" t="s">
        <v>30</v>
      </c>
      <c r="F157" s="4" t="s">
        <v>586</v>
      </c>
      <c r="G157" s="112">
        <v>2</v>
      </c>
      <c r="H157" s="155" t="s">
        <v>587</v>
      </c>
      <c r="I157" s="173">
        <v>2</v>
      </c>
      <c r="J157" s="155" t="s">
        <v>624</v>
      </c>
      <c r="K157" s="178">
        <v>8</v>
      </c>
      <c r="L157" s="4">
        <f t="shared" si="12"/>
        <v>32</v>
      </c>
      <c r="M157" s="181" t="s">
        <v>331</v>
      </c>
      <c r="N157" s="155"/>
      <c r="O157" s="98"/>
      <c r="P157" s="154"/>
      <c r="Q157" s="154"/>
      <c r="R157" s="112"/>
      <c r="S157" s="95"/>
      <c r="T157" s="7"/>
      <c r="U157" s="93"/>
      <c r="V157" s="4"/>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87"/>
      <c r="EM157" s="87"/>
      <c r="EN157" s="87"/>
      <c r="EO157" s="87"/>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c r="FL157" s="87"/>
      <c r="FM157" s="87"/>
      <c r="FN157" s="87"/>
      <c r="FO157" s="87"/>
      <c r="FP157" s="87"/>
      <c r="FQ157" s="87"/>
      <c r="FR157" s="87"/>
      <c r="FS157" s="87"/>
      <c r="FT157" s="87"/>
      <c r="FU157" s="87"/>
      <c r="FV157" s="87"/>
      <c r="FW157" s="87"/>
      <c r="FX157" s="87"/>
      <c r="FY157" s="87"/>
      <c r="FZ157" s="87"/>
      <c r="GA157" s="87"/>
      <c r="GB157" s="87"/>
      <c r="GC157" s="87"/>
      <c r="GD157" s="87"/>
      <c r="GE157" s="87"/>
      <c r="GF157" s="87"/>
      <c r="GG157" s="87"/>
      <c r="GH157" s="87"/>
      <c r="GI157" s="87"/>
      <c r="GJ157" s="87"/>
      <c r="GK157" s="87"/>
      <c r="GL157" s="87"/>
      <c r="GM157" s="87"/>
      <c r="GN157" s="87"/>
      <c r="GO157" s="87"/>
      <c r="GP157" s="87"/>
      <c r="GQ157" s="87"/>
      <c r="GR157" s="87"/>
      <c r="GS157" s="87"/>
      <c r="GT157" s="87"/>
      <c r="GU157" s="87"/>
      <c r="GV157" s="87"/>
      <c r="GW157" s="87"/>
      <c r="GX157" s="87"/>
      <c r="GY157" s="87"/>
      <c r="GZ157" s="87"/>
      <c r="HA157" s="87"/>
      <c r="HB157" s="87"/>
      <c r="HC157" s="87"/>
      <c r="HD157" s="87"/>
      <c r="HE157" s="87"/>
      <c r="HF157" s="87"/>
      <c r="HG157" s="87"/>
      <c r="HH157" s="87"/>
      <c r="HI157" s="87"/>
      <c r="HJ157" s="87"/>
      <c r="HK157" s="87"/>
      <c r="HL157" s="87"/>
      <c r="HM157" s="87"/>
      <c r="HN157" s="8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s="88" customFormat="1" ht="29.05" customHeight="1" x14ac:dyDescent="0.45">
      <c r="A158" s="155"/>
      <c r="B158" s="191"/>
      <c r="C158" s="191"/>
      <c r="D158" s="155"/>
      <c r="E158" s="4" t="s">
        <v>38</v>
      </c>
      <c r="F158" s="7" t="s">
        <v>589</v>
      </c>
      <c r="G158" s="112">
        <v>5</v>
      </c>
      <c r="H158" s="155"/>
      <c r="I158" s="173"/>
      <c r="J158" s="155"/>
      <c r="K158" s="178"/>
      <c r="L158" s="4">
        <f>G158*I157*K157</f>
        <v>80</v>
      </c>
      <c r="M158" s="181"/>
      <c r="N158" s="155"/>
      <c r="O158" s="98"/>
      <c r="P158" s="154"/>
      <c r="Q158" s="154"/>
      <c r="R158" s="112"/>
      <c r="S158" s="95"/>
      <c r="T158" s="7"/>
      <c r="U158" s="93"/>
      <c r="V158" s="4"/>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87"/>
      <c r="EM158" s="87"/>
      <c r="EN158" s="87"/>
      <c r="EO158" s="87"/>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c r="FL158" s="87"/>
      <c r="FM158" s="87"/>
      <c r="FN158" s="87"/>
      <c r="FO158" s="87"/>
      <c r="FP158" s="87"/>
      <c r="FQ158" s="87"/>
      <c r="FR158" s="87"/>
      <c r="FS158" s="87"/>
      <c r="FT158" s="87"/>
      <c r="FU158" s="87"/>
      <c r="FV158" s="87"/>
      <c r="FW158" s="87"/>
      <c r="FX158" s="87"/>
      <c r="FY158" s="87"/>
      <c r="FZ158" s="87"/>
      <c r="GA158" s="87"/>
      <c r="GB158" s="87"/>
      <c r="GC158" s="87"/>
      <c r="GD158" s="87"/>
      <c r="GE158" s="87"/>
      <c r="GF158" s="87"/>
      <c r="GG158" s="87"/>
      <c r="GH158" s="87"/>
      <c r="GI158" s="87"/>
      <c r="GJ158" s="87"/>
      <c r="GK158" s="87"/>
      <c r="GL158" s="87"/>
      <c r="GM158" s="87"/>
      <c r="GN158" s="87"/>
      <c r="GO158" s="87"/>
      <c r="GP158" s="87"/>
      <c r="GQ158" s="87"/>
      <c r="GR158" s="87"/>
      <c r="GS158" s="87"/>
      <c r="GT158" s="87"/>
      <c r="GU158" s="87"/>
      <c r="GV158" s="87"/>
      <c r="GW158" s="87"/>
      <c r="GX158" s="87"/>
      <c r="GY158" s="87"/>
      <c r="GZ158" s="87"/>
      <c r="HA158" s="87"/>
      <c r="HB158" s="87"/>
      <c r="HC158" s="87"/>
      <c r="HD158" s="87"/>
      <c r="HE158" s="87"/>
      <c r="HF158" s="87"/>
      <c r="HG158" s="87"/>
      <c r="HH158" s="87"/>
      <c r="HI158" s="87"/>
      <c r="HJ158" s="87"/>
      <c r="HK158" s="87"/>
      <c r="HL158" s="87"/>
      <c r="HM158" s="87"/>
      <c r="HN158" s="87"/>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s="88" customFormat="1" ht="29.05" customHeight="1" x14ac:dyDescent="0.45">
      <c r="A159" s="155"/>
      <c r="B159" s="191"/>
      <c r="C159" s="191"/>
      <c r="D159" s="155"/>
      <c r="E159" s="7" t="s">
        <v>40</v>
      </c>
      <c r="F159" s="4" t="s">
        <v>590</v>
      </c>
      <c r="G159" s="7">
        <v>2</v>
      </c>
      <c r="H159" s="155"/>
      <c r="I159" s="173"/>
      <c r="J159" s="155"/>
      <c r="K159" s="178"/>
      <c r="L159" s="4">
        <f>G159*I157*K157</f>
        <v>32</v>
      </c>
      <c r="M159" s="181"/>
      <c r="N159" s="155"/>
      <c r="O159" s="98"/>
      <c r="P159" s="154"/>
      <c r="Q159" s="154"/>
      <c r="R159" s="7"/>
      <c r="S159" s="95"/>
      <c r="T159" s="7"/>
      <c r="U159" s="93"/>
      <c r="V159" s="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87"/>
      <c r="EM159" s="87"/>
      <c r="EN159" s="87"/>
      <c r="EO159" s="87"/>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c r="FL159" s="87"/>
      <c r="FM159" s="87"/>
      <c r="FN159" s="87"/>
      <c r="FO159" s="87"/>
      <c r="FP159" s="87"/>
      <c r="FQ159" s="87"/>
      <c r="FR159" s="87"/>
      <c r="FS159" s="87"/>
      <c r="FT159" s="87"/>
      <c r="FU159" s="87"/>
      <c r="FV159" s="87"/>
      <c r="FW159" s="87"/>
      <c r="FX159" s="87"/>
      <c r="FY159" s="87"/>
      <c r="FZ159" s="87"/>
      <c r="GA159" s="87"/>
      <c r="GB159" s="87"/>
      <c r="GC159" s="87"/>
      <c r="GD159" s="87"/>
      <c r="GE159" s="87"/>
      <c r="GF159" s="87"/>
      <c r="GG159" s="87"/>
      <c r="GH159" s="87"/>
      <c r="GI159" s="87"/>
      <c r="GJ159" s="87"/>
      <c r="GK159" s="87"/>
      <c r="GL159" s="87"/>
      <c r="GM159" s="87"/>
      <c r="GN159" s="87"/>
      <c r="GO159" s="87"/>
      <c r="GP159" s="87"/>
      <c r="GQ159" s="87"/>
      <c r="GR159" s="87"/>
      <c r="GS159" s="87"/>
      <c r="GT159" s="87"/>
      <c r="GU159" s="87"/>
      <c r="GV159" s="87"/>
      <c r="GW159" s="87"/>
      <c r="GX159" s="87"/>
      <c r="GY159" s="87"/>
      <c r="GZ159" s="87"/>
      <c r="HA159" s="87"/>
      <c r="HB159" s="87"/>
      <c r="HC159" s="87"/>
      <c r="HD159" s="87"/>
      <c r="HE159" s="87"/>
      <c r="HF159" s="87"/>
      <c r="HG159" s="87"/>
      <c r="HH159" s="87"/>
      <c r="HI159" s="87"/>
      <c r="HJ159" s="87"/>
      <c r="HK159" s="87"/>
      <c r="HL159" s="87"/>
      <c r="HM159" s="87"/>
      <c r="HN159" s="87"/>
      <c r="HO159" s="87"/>
      <c r="HP159" s="87"/>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s="88" customFormat="1" ht="29.05" customHeight="1" x14ac:dyDescent="0.45">
      <c r="A160" s="155"/>
      <c r="B160" s="191"/>
      <c r="C160" s="191"/>
      <c r="D160" s="155" t="s">
        <v>591</v>
      </c>
      <c r="E160" s="4" t="s">
        <v>30</v>
      </c>
      <c r="F160" s="4" t="s">
        <v>586</v>
      </c>
      <c r="G160" s="112">
        <v>2</v>
      </c>
      <c r="H160" s="155" t="s">
        <v>592</v>
      </c>
      <c r="I160" s="155">
        <v>2</v>
      </c>
      <c r="J160" s="155" t="s">
        <v>593</v>
      </c>
      <c r="K160" s="179">
        <v>8</v>
      </c>
      <c r="L160" s="4">
        <f>G160*I160*K160</f>
        <v>32</v>
      </c>
      <c r="M160" s="181"/>
      <c r="N160" s="155"/>
      <c r="O160" s="98"/>
      <c r="P160" s="154"/>
      <c r="Q160" s="154"/>
      <c r="R160" s="112"/>
      <c r="S160" s="95"/>
      <c r="T160" s="7"/>
      <c r="U160" s="93"/>
      <c r="V160" s="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87"/>
      <c r="EM160" s="87"/>
      <c r="EN160" s="87"/>
      <c r="EO160" s="87"/>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c r="FL160" s="87"/>
      <c r="FM160" s="87"/>
      <c r="FN160" s="87"/>
      <c r="FO160" s="87"/>
      <c r="FP160" s="87"/>
      <c r="FQ160" s="87"/>
      <c r="FR160" s="87"/>
      <c r="FS160" s="87"/>
      <c r="FT160" s="87"/>
      <c r="FU160" s="87"/>
      <c r="FV160" s="87"/>
      <c r="FW160" s="87"/>
      <c r="FX160" s="87"/>
      <c r="FY160" s="87"/>
      <c r="FZ160" s="87"/>
      <c r="GA160" s="87"/>
      <c r="GB160" s="87"/>
      <c r="GC160" s="87"/>
      <c r="GD160" s="87"/>
      <c r="GE160" s="87"/>
      <c r="GF160" s="87"/>
      <c r="GG160" s="87"/>
      <c r="GH160" s="87"/>
      <c r="GI160" s="87"/>
      <c r="GJ160" s="87"/>
      <c r="GK160" s="87"/>
      <c r="GL160" s="87"/>
      <c r="GM160" s="87"/>
      <c r="GN160" s="87"/>
      <c r="GO160" s="87"/>
      <c r="GP160" s="87"/>
      <c r="GQ160" s="87"/>
      <c r="GR160" s="87"/>
      <c r="GS160" s="87"/>
      <c r="GT160" s="87"/>
      <c r="GU160" s="87"/>
      <c r="GV160" s="87"/>
      <c r="GW160" s="87"/>
      <c r="GX160" s="87"/>
      <c r="GY160" s="87"/>
      <c r="GZ160" s="87"/>
      <c r="HA160" s="87"/>
      <c r="HB160" s="87"/>
      <c r="HC160" s="87"/>
      <c r="HD160" s="87"/>
      <c r="HE160" s="87"/>
      <c r="HF160" s="87"/>
      <c r="HG160" s="87"/>
      <c r="HH160" s="87"/>
      <c r="HI160" s="87"/>
      <c r="HJ160" s="87"/>
      <c r="HK160" s="87"/>
      <c r="HL160" s="87"/>
      <c r="HM160" s="87"/>
      <c r="HN160" s="87"/>
      <c r="HO160" s="87"/>
      <c r="HP160" s="87"/>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s="88" customFormat="1" ht="29.05" customHeight="1" x14ac:dyDescent="0.45">
      <c r="A161" s="155"/>
      <c r="B161" s="191"/>
      <c r="C161" s="191"/>
      <c r="D161" s="155"/>
      <c r="E161" s="4" t="s">
        <v>38</v>
      </c>
      <c r="F161" s="7" t="s">
        <v>589</v>
      </c>
      <c r="G161" s="112">
        <v>5</v>
      </c>
      <c r="H161" s="155"/>
      <c r="I161" s="155"/>
      <c r="J161" s="155"/>
      <c r="K161" s="179"/>
      <c r="L161" s="4">
        <f>G161*I160*K160</f>
        <v>80</v>
      </c>
      <c r="M161" s="181"/>
      <c r="N161" s="155"/>
      <c r="O161" s="98"/>
      <c r="P161" s="154"/>
      <c r="Q161" s="154"/>
      <c r="R161" s="112"/>
      <c r="S161" s="95"/>
      <c r="T161" s="7"/>
      <c r="U161" s="93"/>
      <c r="V161" s="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87"/>
      <c r="EM161" s="87"/>
      <c r="EN161" s="87"/>
      <c r="EO161" s="87"/>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c r="FL161" s="87"/>
      <c r="FM161" s="87"/>
      <c r="FN161" s="87"/>
      <c r="FO161" s="87"/>
      <c r="FP161" s="87"/>
      <c r="FQ161" s="87"/>
      <c r="FR161" s="87"/>
      <c r="FS161" s="87"/>
      <c r="FT161" s="87"/>
      <c r="FU161" s="87"/>
      <c r="FV161" s="87"/>
      <c r="FW161" s="87"/>
      <c r="FX161" s="87"/>
      <c r="FY161" s="87"/>
      <c r="FZ161" s="87"/>
      <c r="GA161" s="87"/>
      <c r="GB161" s="87"/>
      <c r="GC161" s="87"/>
      <c r="GD161" s="87"/>
      <c r="GE161" s="87"/>
      <c r="GF161" s="87"/>
      <c r="GG161" s="87"/>
      <c r="GH161" s="87"/>
      <c r="GI161" s="87"/>
      <c r="GJ161" s="87"/>
      <c r="GK161" s="87"/>
      <c r="GL161" s="87"/>
      <c r="GM161" s="87"/>
      <c r="GN161" s="87"/>
      <c r="GO161" s="87"/>
      <c r="GP161" s="87"/>
      <c r="GQ161" s="87"/>
      <c r="GR161" s="87"/>
      <c r="GS161" s="87"/>
      <c r="GT161" s="87"/>
      <c r="GU161" s="87"/>
      <c r="GV161" s="87"/>
      <c r="GW161" s="87"/>
      <c r="GX161" s="87"/>
      <c r="GY161" s="87"/>
      <c r="GZ161" s="87"/>
      <c r="HA161" s="87"/>
      <c r="HB161" s="87"/>
      <c r="HC161" s="87"/>
      <c r="HD161" s="87"/>
      <c r="HE161" s="87"/>
      <c r="HF161" s="87"/>
      <c r="HG161" s="87"/>
      <c r="HH161" s="87"/>
      <c r="HI161" s="87"/>
      <c r="HJ161" s="87"/>
      <c r="HK161" s="87"/>
      <c r="HL161" s="87"/>
      <c r="HM161" s="87"/>
      <c r="HN161" s="87"/>
      <c r="HO161" s="87"/>
      <c r="HP161" s="87"/>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s="88" customFormat="1" ht="29.05" customHeight="1" x14ac:dyDescent="0.45">
      <c r="A162" s="155"/>
      <c r="B162" s="191"/>
      <c r="C162" s="191"/>
      <c r="D162" s="155"/>
      <c r="E162" s="7" t="s">
        <v>40</v>
      </c>
      <c r="F162" s="4" t="s">
        <v>590</v>
      </c>
      <c r="G162" s="7">
        <v>2</v>
      </c>
      <c r="H162" s="155"/>
      <c r="I162" s="155"/>
      <c r="J162" s="155"/>
      <c r="K162" s="179"/>
      <c r="L162" s="4">
        <f>G162*I160*K160</f>
        <v>32</v>
      </c>
      <c r="M162" s="181"/>
      <c r="N162" s="155"/>
      <c r="O162" s="98"/>
      <c r="P162" s="154"/>
      <c r="Q162" s="154"/>
      <c r="R162" s="7"/>
      <c r="S162" s="95"/>
      <c r="T162" s="7"/>
      <c r="U162" s="93"/>
      <c r="V162" s="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87"/>
      <c r="EM162" s="87"/>
      <c r="EN162" s="87"/>
      <c r="EO162" s="87"/>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c r="FL162" s="87"/>
      <c r="FM162" s="87"/>
      <c r="FN162" s="87"/>
      <c r="FO162" s="87"/>
      <c r="FP162" s="87"/>
      <c r="FQ162" s="87"/>
      <c r="FR162" s="87"/>
      <c r="FS162" s="87"/>
      <c r="FT162" s="87"/>
      <c r="FU162" s="87"/>
      <c r="FV162" s="87"/>
      <c r="FW162" s="87"/>
      <c r="FX162" s="87"/>
      <c r="FY162" s="87"/>
      <c r="FZ162" s="87"/>
      <c r="GA162" s="87"/>
      <c r="GB162" s="87"/>
      <c r="GC162" s="87"/>
      <c r="GD162" s="87"/>
      <c r="GE162" s="87"/>
      <c r="GF162" s="87"/>
      <c r="GG162" s="87"/>
      <c r="GH162" s="87"/>
      <c r="GI162" s="87"/>
      <c r="GJ162" s="87"/>
      <c r="GK162" s="87"/>
      <c r="GL162" s="87"/>
      <c r="GM162" s="87"/>
      <c r="GN162" s="87"/>
      <c r="GO162" s="87"/>
      <c r="GP162" s="87"/>
      <c r="GQ162" s="87"/>
      <c r="GR162" s="87"/>
      <c r="GS162" s="87"/>
      <c r="GT162" s="87"/>
      <c r="GU162" s="87"/>
      <c r="GV162" s="87"/>
      <c r="GW162" s="87"/>
      <c r="GX162" s="87"/>
      <c r="GY162" s="87"/>
      <c r="GZ162" s="87"/>
      <c r="HA162" s="87"/>
      <c r="HB162" s="87"/>
      <c r="HC162" s="87"/>
      <c r="HD162" s="87"/>
      <c r="HE162" s="87"/>
      <c r="HF162" s="87"/>
      <c r="HG162" s="87"/>
      <c r="HH162" s="87"/>
      <c r="HI162" s="87"/>
      <c r="HJ162" s="87"/>
      <c r="HK162" s="87"/>
      <c r="HL162" s="87"/>
      <c r="HM162" s="87"/>
      <c r="HN162" s="87"/>
      <c r="HO162" s="87"/>
      <c r="HP162" s="87"/>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s="87" customFormat="1" ht="36" customHeight="1" x14ac:dyDescent="0.45">
      <c r="A163" s="155" t="s">
        <v>625</v>
      </c>
      <c r="B163" s="155" t="s">
        <v>626</v>
      </c>
      <c r="C163" s="155"/>
      <c r="D163" s="155" t="s">
        <v>627</v>
      </c>
      <c r="E163" s="4" t="s">
        <v>30</v>
      </c>
      <c r="F163" s="4" t="s">
        <v>41</v>
      </c>
      <c r="G163" s="4">
        <v>2</v>
      </c>
      <c r="H163" s="155" t="s">
        <v>600</v>
      </c>
      <c r="I163" s="4">
        <v>3</v>
      </c>
      <c r="J163" s="160" t="s">
        <v>608</v>
      </c>
      <c r="K163" s="7">
        <v>8</v>
      </c>
      <c r="L163" s="4">
        <f t="shared" ref="L163:L195" si="13">G163*I163*K163</f>
        <v>48</v>
      </c>
      <c r="M163" s="154" t="s">
        <v>331</v>
      </c>
      <c r="N163" s="46"/>
      <c r="O163" s="93"/>
      <c r="P163" s="155"/>
      <c r="Q163" s="155"/>
      <c r="R163" s="93"/>
      <c r="S163" s="93"/>
      <c r="T163" s="93"/>
      <c r="U163" s="93"/>
      <c r="V163" s="93"/>
      <c r="HQ163"/>
      <c r="HR163"/>
      <c r="HS163"/>
      <c r="HT163"/>
      <c r="HU163"/>
      <c r="HV163"/>
      <c r="HW163"/>
      <c r="HX163"/>
    </row>
    <row r="164" spans="1:256" s="87" customFormat="1" ht="41.05" customHeight="1" x14ac:dyDescent="0.45">
      <c r="A164" s="155"/>
      <c r="B164" s="155"/>
      <c r="C164" s="155"/>
      <c r="D164" s="155"/>
      <c r="E164" s="4" t="s">
        <v>38</v>
      </c>
      <c r="F164" s="4" t="s">
        <v>602</v>
      </c>
      <c r="G164" s="4">
        <v>3</v>
      </c>
      <c r="H164" s="155"/>
      <c r="I164" s="4">
        <v>3</v>
      </c>
      <c r="J164" s="160"/>
      <c r="K164" s="7">
        <v>8</v>
      </c>
      <c r="L164" s="4">
        <f t="shared" si="13"/>
        <v>72</v>
      </c>
      <c r="M164" s="154"/>
      <c r="N164" s="46"/>
      <c r="O164" s="93"/>
      <c r="P164" s="155"/>
      <c r="Q164" s="155"/>
      <c r="R164" s="93"/>
      <c r="S164" s="93"/>
      <c r="T164" s="93"/>
      <c r="U164" s="93"/>
      <c r="V164" s="93"/>
      <c r="HS164"/>
      <c r="HT164"/>
      <c r="HU164"/>
      <c r="HV164"/>
    </row>
    <row r="165" spans="1:256" s="87" customFormat="1" ht="37" customHeight="1" x14ac:dyDescent="0.45">
      <c r="A165" s="155"/>
      <c r="B165" s="155"/>
      <c r="C165" s="155"/>
      <c r="D165" s="155"/>
      <c r="E165" s="4" t="s">
        <v>40</v>
      </c>
      <c r="F165" s="4" t="s">
        <v>41</v>
      </c>
      <c r="G165" s="4">
        <v>2</v>
      </c>
      <c r="H165" s="155"/>
      <c r="I165" s="4">
        <v>1</v>
      </c>
      <c r="J165" s="160"/>
      <c r="K165" s="7">
        <v>8</v>
      </c>
      <c r="L165" s="4">
        <f t="shared" si="13"/>
        <v>16</v>
      </c>
      <c r="M165" s="154"/>
      <c r="N165" s="46"/>
      <c r="O165" s="93"/>
      <c r="P165" s="155"/>
      <c r="Q165" s="155"/>
      <c r="R165" s="93"/>
      <c r="S165" s="93"/>
      <c r="T165" s="93"/>
      <c r="U165" s="93"/>
      <c r="V165" s="93"/>
      <c r="HS165"/>
      <c r="HT165"/>
      <c r="HU165"/>
      <c r="HV165"/>
    </row>
    <row r="166" spans="1:256" s="87" customFormat="1" ht="30" customHeight="1" x14ac:dyDescent="0.45">
      <c r="A166" s="155" t="s">
        <v>628</v>
      </c>
      <c r="B166" s="155" t="s">
        <v>629</v>
      </c>
      <c r="C166" s="155"/>
      <c r="D166" s="154" t="s">
        <v>630</v>
      </c>
      <c r="E166" s="4" t="s">
        <v>30</v>
      </c>
      <c r="F166" s="4" t="s">
        <v>41</v>
      </c>
      <c r="G166" s="4">
        <v>3</v>
      </c>
      <c r="H166" s="154" t="s">
        <v>600</v>
      </c>
      <c r="I166" s="4">
        <v>1</v>
      </c>
      <c r="J166" s="174" t="s">
        <v>631</v>
      </c>
      <c r="K166" s="7">
        <v>8</v>
      </c>
      <c r="L166" s="4">
        <f t="shared" si="13"/>
        <v>24</v>
      </c>
      <c r="M166" s="154" t="s">
        <v>331</v>
      </c>
      <c r="N166" s="46"/>
      <c r="O166" s="93"/>
      <c r="P166" s="155"/>
      <c r="Q166" s="155"/>
      <c r="R166" s="93"/>
      <c r="S166" s="93"/>
      <c r="T166" s="93"/>
      <c r="U166" s="93"/>
      <c r="V166" s="93"/>
      <c r="HS166"/>
      <c r="HT166"/>
      <c r="HU166"/>
      <c r="HV166"/>
    </row>
    <row r="167" spans="1:256" s="87" customFormat="1" ht="31" customHeight="1" x14ac:dyDescent="0.45">
      <c r="A167" s="155"/>
      <c r="B167" s="155"/>
      <c r="C167" s="155"/>
      <c r="D167" s="154"/>
      <c r="E167" s="4" t="s">
        <v>38</v>
      </c>
      <c r="F167" s="4" t="s">
        <v>602</v>
      </c>
      <c r="G167" s="4">
        <v>3</v>
      </c>
      <c r="H167" s="154"/>
      <c r="I167" s="4">
        <v>1</v>
      </c>
      <c r="J167" s="174"/>
      <c r="K167" s="7">
        <v>8</v>
      </c>
      <c r="L167" s="4">
        <f t="shared" si="13"/>
        <v>24</v>
      </c>
      <c r="M167" s="154"/>
      <c r="N167" s="46"/>
      <c r="O167" s="93"/>
      <c r="P167" s="155"/>
      <c r="Q167" s="155"/>
      <c r="R167" s="93"/>
      <c r="S167" s="93"/>
      <c r="T167" s="93"/>
      <c r="U167" s="93"/>
      <c r="V167" s="93"/>
      <c r="HS167"/>
      <c r="HT167"/>
      <c r="HU167"/>
      <c r="HV167"/>
    </row>
    <row r="168" spans="1:256" s="87" customFormat="1" ht="32.049999999999997" customHeight="1" x14ac:dyDescent="0.45">
      <c r="A168" s="155"/>
      <c r="B168" s="155"/>
      <c r="C168" s="155"/>
      <c r="D168" s="154"/>
      <c r="E168" s="4" t="s">
        <v>40</v>
      </c>
      <c r="F168" s="4" t="s">
        <v>41</v>
      </c>
      <c r="G168" s="4">
        <v>3</v>
      </c>
      <c r="H168" s="154"/>
      <c r="I168" s="4">
        <v>1</v>
      </c>
      <c r="J168" s="174"/>
      <c r="K168" s="7">
        <v>8</v>
      </c>
      <c r="L168" s="4">
        <f t="shared" si="13"/>
        <v>24</v>
      </c>
      <c r="M168" s="154"/>
      <c r="N168" s="46"/>
      <c r="O168" s="93"/>
      <c r="P168" s="155"/>
      <c r="Q168" s="155"/>
      <c r="R168" s="93"/>
      <c r="S168" s="93"/>
      <c r="T168" s="93"/>
      <c r="U168" s="93"/>
      <c r="V168" s="93"/>
      <c r="HS168"/>
      <c r="HT168"/>
      <c r="HU168"/>
      <c r="HV168"/>
    </row>
    <row r="169" spans="1:256" s="87" customFormat="1" ht="22" customHeight="1" x14ac:dyDescent="0.45">
      <c r="A169" s="155" t="s">
        <v>632</v>
      </c>
      <c r="B169" s="155" t="s">
        <v>633</v>
      </c>
      <c r="C169" s="155"/>
      <c r="D169" s="155" t="s">
        <v>634</v>
      </c>
      <c r="E169" s="4" t="s">
        <v>30</v>
      </c>
      <c r="F169" s="4" t="s">
        <v>41</v>
      </c>
      <c r="G169" s="7">
        <v>2</v>
      </c>
      <c r="H169" s="154" t="s">
        <v>600</v>
      </c>
      <c r="I169" s="4">
        <v>3</v>
      </c>
      <c r="J169" s="174" t="s">
        <v>631</v>
      </c>
      <c r="K169" s="7">
        <v>8</v>
      </c>
      <c r="L169" s="7">
        <f t="shared" si="13"/>
        <v>48</v>
      </c>
      <c r="M169" s="154" t="s">
        <v>331</v>
      </c>
      <c r="N169" s="115"/>
      <c r="O169" s="93"/>
      <c r="P169" s="155"/>
      <c r="Q169" s="155"/>
      <c r="R169" s="93"/>
      <c r="S169" s="93"/>
      <c r="T169" s="93"/>
      <c r="U169" s="93"/>
      <c r="V169" s="93"/>
      <c r="HS169"/>
      <c r="HT169"/>
      <c r="HU169"/>
      <c r="HV169"/>
    </row>
    <row r="170" spans="1:256" s="87" customFormat="1" ht="42" customHeight="1" x14ac:dyDescent="0.45">
      <c r="A170" s="155"/>
      <c r="B170" s="155"/>
      <c r="C170" s="155"/>
      <c r="D170" s="155"/>
      <c r="E170" s="4" t="s">
        <v>38</v>
      </c>
      <c r="F170" s="4" t="s">
        <v>602</v>
      </c>
      <c r="G170" s="7">
        <v>2</v>
      </c>
      <c r="H170" s="154"/>
      <c r="I170" s="4">
        <v>3</v>
      </c>
      <c r="J170" s="174"/>
      <c r="K170" s="7">
        <v>8</v>
      </c>
      <c r="L170" s="7">
        <f t="shared" si="13"/>
        <v>48</v>
      </c>
      <c r="M170" s="154"/>
      <c r="N170" s="115"/>
      <c r="O170" s="93"/>
      <c r="P170" s="155"/>
      <c r="Q170" s="155"/>
      <c r="R170" s="93"/>
      <c r="S170" s="93"/>
      <c r="T170" s="93"/>
      <c r="U170" s="93"/>
      <c r="V170" s="93"/>
      <c r="HS170"/>
      <c r="HT170"/>
      <c r="HU170"/>
      <c r="HV170"/>
    </row>
    <row r="171" spans="1:256" s="87" customFormat="1" ht="44.05" customHeight="1" x14ac:dyDescent="0.45">
      <c r="A171" s="155"/>
      <c r="B171" s="155"/>
      <c r="C171" s="155"/>
      <c r="D171" s="155"/>
      <c r="E171" s="4" t="s">
        <v>40</v>
      </c>
      <c r="F171" s="4" t="s">
        <v>41</v>
      </c>
      <c r="G171" s="7">
        <v>2</v>
      </c>
      <c r="H171" s="154"/>
      <c r="I171" s="4">
        <v>1</v>
      </c>
      <c r="J171" s="174"/>
      <c r="K171" s="7">
        <v>8</v>
      </c>
      <c r="L171" s="7">
        <f t="shared" si="13"/>
        <v>16</v>
      </c>
      <c r="M171" s="154"/>
      <c r="N171" s="115"/>
      <c r="O171" s="93"/>
      <c r="P171" s="155"/>
      <c r="Q171" s="155"/>
      <c r="R171" s="93"/>
      <c r="S171" s="93"/>
      <c r="T171" s="93"/>
      <c r="U171" s="93"/>
      <c r="V171" s="93"/>
      <c r="HS171"/>
      <c r="HT171"/>
      <c r="HU171"/>
      <c r="HV171"/>
    </row>
    <row r="172" spans="1:256" s="87" customFormat="1" ht="21" customHeight="1" x14ac:dyDescent="0.45">
      <c r="A172" s="155" t="s">
        <v>635</v>
      </c>
      <c r="B172" s="155" t="s">
        <v>618</v>
      </c>
      <c r="C172" s="155"/>
      <c r="D172" s="155" t="s">
        <v>618</v>
      </c>
      <c r="E172" s="4" t="s">
        <v>30</v>
      </c>
      <c r="F172" s="4" t="s">
        <v>41</v>
      </c>
      <c r="G172" s="4">
        <v>2</v>
      </c>
      <c r="H172" s="154" t="s">
        <v>600</v>
      </c>
      <c r="I172" s="4">
        <v>3</v>
      </c>
      <c r="J172" s="174" t="s">
        <v>631</v>
      </c>
      <c r="K172" s="7">
        <v>8</v>
      </c>
      <c r="L172" s="4">
        <f t="shared" si="13"/>
        <v>48</v>
      </c>
      <c r="M172" s="154" t="s">
        <v>331</v>
      </c>
      <c r="N172" s="46"/>
      <c r="O172" s="93"/>
      <c r="P172" s="155"/>
      <c r="Q172" s="155"/>
      <c r="R172" s="93"/>
      <c r="S172" s="93"/>
      <c r="T172" s="93"/>
      <c r="U172" s="93"/>
      <c r="V172" s="93"/>
      <c r="HS172"/>
      <c r="HT172"/>
      <c r="HU172"/>
      <c r="HV172"/>
    </row>
    <row r="173" spans="1:256" s="87" customFormat="1" ht="45" customHeight="1" x14ac:dyDescent="0.45">
      <c r="A173" s="155"/>
      <c r="B173" s="155"/>
      <c r="C173" s="155"/>
      <c r="D173" s="155"/>
      <c r="E173" s="4" t="s">
        <v>38</v>
      </c>
      <c r="F173" s="4" t="s">
        <v>602</v>
      </c>
      <c r="G173" s="4">
        <v>3</v>
      </c>
      <c r="H173" s="154"/>
      <c r="I173" s="4">
        <v>3</v>
      </c>
      <c r="J173" s="174"/>
      <c r="K173" s="7">
        <v>8</v>
      </c>
      <c r="L173" s="4">
        <f t="shared" si="13"/>
        <v>72</v>
      </c>
      <c r="M173" s="154"/>
      <c r="N173" s="46"/>
      <c r="O173" s="93"/>
      <c r="P173" s="155"/>
      <c r="Q173" s="155"/>
      <c r="R173" s="93"/>
      <c r="S173" s="93"/>
      <c r="T173" s="93"/>
      <c r="U173" s="93"/>
      <c r="V173" s="93"/>
      <c r="HS173"/>
      <c r="HT173"/>
      <c r="HU173"/>
      <c r="HV173"/>
    </row>
    <row r="174" spans="1:256" s="87" customFormat="1" ht="35.049999999999997" customHeight="1" x14ac:dyDescent="0.45">
      <c r="A174" s="155"/>
      <c r="B174" s="155"/>
      <c r="C174" s="155"/>
      <c r="D174" s="155"/>
      <c r="E174" s="4" t="s">
        <v>40</v>
      </c>
      <c r="F174" s="4" t="s">
        <v>41</v>
      </c>
      <c r="G174" s="4">
        <v>2</v>
      </c>
      <c r="H174" s="154"/>
      <c r="I174" s="4">
        <v>1</v>
      </c>
      <c r="J174" s="174"/>
      <c r="K174" s="7">
        <v>8</v>
      </c>
      <c r="L174" s="4">
        <f t="shared" si="13"/>
        <v>16</v>
      </c>
      <c r="M174" s="154"/>
      <c r="N174" s="46"/>
      <c r="O174" s="93"/>
      <c r="P174" s="155"/>
      <c r="Q174" s="155"/>
      <c r="R174" s="93"/>
      <c r="S174" s="93"/>
      <c r="T174" s="93"/>
      <c r="U174" s="93"/>
      <c r="V174" s="93"/>
      <c r="HS174"/>
      <c r="HT174"/>
      <c r="HU174"/>
      <c r="HV174"/>
    </row>
    <row r="175" spans="1:256" s="87" customFormat="1" ht="31" customHeight="1" x14ac:dyDescent="0.45">
      <c r="A175" s="155" t="s">
        <v>636</v>
      </c>
      <c r="B175" s="155" t="s">
        <v>637</v>
      </c>
      <c r="C175" s="155"/>
      <c r="D175" s="155" t="s">
        <v>638</v>
      </c>
      <c r="E175" s="4" t="s">
        <v>30</v>
      </c>
      <c r="F175" s="4" t="s">
        <v>41</v>
      </c>
      <c r="G175" s="7">
        <v>2</v>
      </c>
      <c r="H175" s="154" t="s">
        <v>600</v>
      </c>
      <c r="I175" s="4">
        <v>3</v>
      </c>
      <c r="J175" s="174" t="s">
        <v>631</v>
      </c>
      <c r="K175" s="7">
        <v>8</v>
      </c>
      <c r="L175" s="7">
        <f t="shared" si="13"/>
        <v>48</v>
      </c>
      <c r="M175" s="154" t="s">
        <v>331</v>
      </c>
      <c r="N175" s="93"/>
      <c r="O175" s="93"/>
      <c r="P175" s="155"/>
      <c r="Q175" s="155"/>
      <c r="R175" s="93"/>
      <c r="S175" s="93"/>
      <c r="T175" s="93"/>
      <c r="U175" s="93"/>
      <c r="V175" s="93"/>
      <c r="HS175"/>
      <c r="HT175"/>
      <c r="HU175"/>
      <c r="HV175"/>
    </row>
    <row r="176" spans="1:256" s="87" customFormat="1" ht="48" customHeight="1" x14ac:dyDescent="0.45">
      <c r="A176" s="155"/>
      <c r="B176" s="155"/>
      <c r="C176" s="155"/>
      <c r="D176" s="155"/>
      <c r="E176" s="4" t="s">
        <v>38</v>
      </c>
      <c r="F176" s="4" t="s">
        <v>602</v>
      </c>
      <c r="G176" s="7">
        <v>2</v>
      </c>
      <c r="H176" s="154"/>
      <c r="I176" s="4">
        <v>3</v>
      </c>
      <c r="J176" s="174"/>
      <c r="K176" s="7">
        <v>8</v>
      </c>
      <c r="L176" s="7">
        <f t="shared" si="13"/>
        <v>48</v>
      </c>
      <c r="M176" s="154"/>
      <c r="N176" s="93"/>
      <c r="O176" s="93"/>
      <c r="P176" s="155"/>
      <c r="Q176" s="155"/>
      <c r="R176" s="93"/>
      <c r="S176" s="93"/>
      <c r="T176" s="93"/>
      <c r="U176" s="93"/>
      <c r="V176" s="93"/>
      <c r="HS176"/>
      <c r="HT176"/>
      <c r="HU176"/>
      <c r="HV176"/>
    </row>
    <row r="177" spans="1:232" s="87" customFormat="1" ht="42" customHeight="1" x14ac:dyDescent="0.45">
      <c r="A177" s="155"/>
      <c r="B177" s="155"/>
      <c r="C177" s="155"/>
      <c r="D177" s="155"/>
      <c r="E177" s="4" t="s">
        <v>40</v>
      </c>
      <c r="F177" s="4" t="s">
        <v>41</v>
      </c>
      <c r="G177" s="7">
        <v>2</v>
      </c>
      <c r="H177" s="154"/>
      <c r="I177" s="4">
        <v>1</v>
      </c>
      <c r="J177" s="174"/>
      <c r="K177" s="7">
        <v>8</v>
      </c>
      <c r="L177" s="7">
        <f t="shared" si="13"/>
        <v>16</v>
      </c>
      <c r="M177" s="154"/>
      <c r="N177" s="93"/>
      <c r="O177" s="93"/>
      <c r="P177" s="155"/>
      <c r="Q177" s="155"/>
      <c r="R177" s="93"/>
      <c r="S177" s="93"/>
      <c r="T177" s="93"/>
      <c r="U177" s="93"/>
      <c r="V177" s="93"/>
      <c r="HS177"/>
      <c r="HT177"/>
      <c r="HU177"/>
      <c r="HV177"/>
    </row>
    <row r="178" spans="1:232" s="87" customFormat="1" ht="31" customHeight="1" x14ac:dyDescent="0.45">
      <c r="A178" s="154" t="s">
        <v>639</v>
      </c>
      <c r="B178" s="154" t="s">
        <v>640</v>
      </c>
      <c r="C178" s="154"/>
      <c r="D178" s="154" t="s">
        <v>641</v>
      </c>
      <c r="E178" s="4" t="s">
        <v>30</v>
      </c>
      <c r="F178" s="4" t="s">
        <v>41</v>
      </c>
      <c r="G178" s="4">
        <v>3</v>
      </c>
      <c r="H178" s="154" t="s">
        <v>611</v>
      </c>
      <c r="I178" s="4">
        <v>3</v>
      </c>
      <c r="J178" s="174" t="s">
        <v>631</v>
      </c>
      <c r="K178" s="7">
        <v>8</v>
      </c>
      <c r="L178" s="4">
        <f t="shared" si="13"/>
        <v>72</v>
      </c>
      <c r="M178" s="154" t="s">
        <v>331</v>
      </c>
      <c r="N178" s="93"/>
      <c r="O178" s="93"/>
      <c r="P178" s="155"/>
      <c r="Q178" s="155"/>
      <c r="R178" s="93"/>
      <c r="S178" s="93"/>
      <c r="T178" s="93"/>
      <c r="U178" s="93"/>
      <c r="V178" s="93"/>
      <c r="HU178"/>
      <c r="HV178"/>
      <c r="HW178"/>
      <c r="HX178"/>
    </row>
    <row r="179" spans="1:232" s="87" customFormat="1" ht="32.049999999999997" customHeight="1" x14ac:dyDescent="0.45">
      <c r="A179" s="154"/>
      <c r="B179" s="154"/>
      <c r="C179" s="154"/>
      <c r="D179" s="154"/>
      <c r="E179" s="4" t="s">
        <v>38</v>
      </c>
      <c r="F179" s="4" t="s">
        <v>602</v>
      </c>
      <c r="G179" s="4">
        <v>3</v>
      </c>
      <c r="H179" s="154"/>
      <c r="I179" s="4">
        <v>3</v>
      </c>
      <c r="J179" s="174"/>
      <c r="K179" s="7">
        <v>8</v>
      </c>
      <c r="L179" s="4">
        <f t="shared" si="13"/>
        <v>72</v>
      </c>
      <c r="M179" s="154"/>
      <c r="N179" s="93"/>
      <c r="O179" s="93"/>
      <c r="P179" s="155"/>
      <c r="Q179" s="155"/>
      <c r="R179" s="93"/>
      <c r="S179" s="93"/>
      <c r="T179" s="93"/>
      <c r="U179" s="93"/>
      <c r="V179" s="93"/>
      <c r="HU179"/>
      <c r="HV179"/>
      <c r="HW179"/>
      <c r="HX179"/>
    </row>
    <row r="180" spans="1:232" s="87" customFormat="1" ht="26.05" customHeight="1" x14ac:dyDescent="0.45">
      <c r="A180" s="154"/>
      <c r="B180" s="154"/>
      <c r="C180" s="154"/>
      <c r="D180" s="154"/>
      <c r="E180" s="4" t="s">
        <v>40</v>
      </c>
      <c r="F180" s="4" t="s">
        <v>41</v>
      </c>
      <c r="G180" s="4">
        <v>3</v>
      </c>
      <c r="H180" s="154"/>
      <c r="I180" s="4">
        <v>1</v>
      </c>
      <c r="J180" s="174"/>
      <c r="K180" s="7">
        <v>8</v>
      </c>
      <c r="L180" s="4">
        <f t="shared" si="13"/>
        <v>24</v>
      </c>
      <c r="M180" s="154"/>
      <c r="N180" s="93"/>
      <c r="O180" s="93"/>
      <c r="P180" s="155"/>
      <c r="Q180" s="155"/>
      <c r="R180" s="93"/>
      <c r="S180" s="93"/>
      <c r="T180" s="93"/>
      <c r="U180" s="93"/>
      <c r="V180" s="93"/>
      <c r="HU180"/>
      <c r="HV180"/>
      <c r="HW180"/>
      <c r="HX180"/>
    </row>
    <row r="181" spans="1:232" s="87" customFormat="1" ht="21" customHeight="1" x14ac:dyDescent="0.45">
      <c r="A181" s="155" t="s">
        <v>642</v>
      </c>
      <c r="B181" s="154" t="s">
        <v>278</v>
      </c>
      <c r="C181" s="154"/>
      <c r="D181" s="154" t="s">
        <v>279</v>
      </c>
      <c r="E181" s="4" t="s">
        <v>30</v>
      </c>
      <c r="F181" s="4" t="s">
        <v>41</v>
      </c>
      <c r="G181" s="4">
        <v>3</v>
      </c>
      <c r="H181" s="154" t="s">
        <v>611</v>
      </c>
      <c r="I181" s="4">
        <v>3</v>
      </c>
      <c r="J181" s="174" t="s">
        <v>631</v>
      </c>
      <c r="K181" s="7">
        <v>8</v>
      </c>
      <c r="L181" s="4">
        <f t="shared" si="13"/>
        <v>72</v>
      </c>
      <c r="M181" s="154" t="s">
        <v>331</v>
      </c>
      <c r="N181" s="93"/>
      <c r="O181" s="93"/>
      <c r="P181" s="155"/>
      <c r="Q181" s="155"/>
      <c r="R181" s="93"/>
      <c r="S181" s="93"/>
      <c r="T181" s="93"/>
      <c r="U181" s="93"/>
      <c r="V181" s="93"/>
      <c r="HS181"/>
      <c r="HT181"/>
      <c r="HU181"/>
      <c r="HV181"/>
    </row>
    <row r="182" spans="1:232" s="87" customFormat="1" ht="21" customHeight="1" x14ac:dyDescent="0.45">
      <c r="A182" s="155"/>
      <c r="B182" s="154"/>
      <c r="C182" s="154"/>
      <c r="D182" s="154"/>
      <c r="E182" s="4" t="s">
        <v>38</v>
      </c>
      <c r="F182" s="4" t="s">
        <v>602</v>
      </c>
      <c r="G182" s="4">
        <v>3</v>
      </c>
      <c r="H182" s="154"/>
      <c r="I182" s="4">
        <v>3</v>
      </c>
      <c r="J182" s="174"/>
      <c r="K182" s="7">
        <v>8</v>
      </c>
      <c r="L182" s="4">
        <f t="shared" si="13"/>
        <v>72</v>
      </c>
      <c r="M182" s="154"/>
      <c r="N182" s="93"/>
      <c r="O182" s="93"/>
      <c r="P182" s="155"/>
      <c r="Q182" s="155"/>
      <c r="R182" s="93"/>
      <c r="S182" s="93"/>
      <c r="T182" s="93"/>
      <c r="U182" s="93"/>
      <c r="V182" s="93"/>
      <c r="HS182"/>
      <c r="HT182"/>
      <c r="HU182"/>
      <c r="HV182"/>
    </row>
    <row r="183" spans="1:232" s="87" customFormat="1" ht="21" customHeight="1" x14ac:dyDescent="0.45">
      <c r="A183" s="155"/>
      <c r="B183" s="154"/>
      <c r="C183" s="154"/>
      <c r="D183" s="154"/>
      <c r="E183" s="4" t="s">
        <v>40</v>
      </c>
      <c r="F183" s="4" t="s">
        <v>41</v>
      </c>
      <c r="G183" s="4">
        <v>3</v>
      </c>
      <c r="H183" s="154"/>
      <c r="I183" s="4">
        <v>1</v>
      </c>
      <c r="J183" s="174"/>
      <c r="K183" s="7">
        <v>8</v>
      </c>
      <c r="L183" s="4">
        <f t="shared" si="13"/>
        <v>24</v>
      </c>
      <c r="M183" s="154"/>
      <c r="N183" s="93"/>
      <c r="O183" s="93"/>
      <c r="P183" s="155"/>
      <c r="Q183" s="155"/>
      <c r="R183" s="93"/>
      <c r="S183" s="93"/>
      <c r="T183" s="93"/>
      <c r="U183" s="93"/>
      <c r="V183" s="93"/>
      <c r="HS183"/>
      <c r="HT183"/>
      <c r="HU183"/>
      <c r="HV183"/>
    </row>
    <row r="184" spans="1:232" s="87" customFormat="1" ht="21" customHeight="1" x14ac:dyDescent="0.45">
      <c r="A184" s="155"/>
      <c r="B184" s="154"/>
      <c r="C184" s="154"/>
      <c r="D184" s="154" t="s">
        <v>280</v>
      </c>
      <c r="E184" s="4" t="s">
        <v>30</v>
      </c>
      <c r="F184" s="4" t="s">
        <v>41</v>
      </c>
      <c r="G184" s="4">
        <v>3</v>
      </c>
      <c r="H184" s="154" t="s">
        <v>611</v>
      </c>
      <c r="I184" s="4">
        <v>3</v>
      </c>
      <c r="J184" s="174" t="s">
        <v>631</v>
      </c>
      <c r="K184" s="7">
        <v>8</v>
      </c>
      <c r="L184" s="4">
        <f t="shared" si="13"/>
        <v>72</v>
      </c>
      <c r="M184" s="154"/>
      <c r="N184" s="93"/>
      <c r="O184" s="93"/>
      <c r="P184" s="155"/>
      <c r="Q184" s="155"/>
      <c r="R184" s="93"/>
      <c r="S184" s="93"/>
      <c r="T184" s="93"/>
      <c r="U184" s="93"/>
      <c r="V184" s="93"/>
      <c r="HS184"/>
      <c r="HT184"/>
      <c r="HU184"/>
      <c r="HV184"/>
    </row>
    <row r="185" spans="1:232" s="87" customFormat="1" ht="33" customHeight="1" x14ac:dyDescent="0.45">
      <c r="A185" s="155"/>
      <c r="B185" s="154"/>
      <c r="C185" s="154"/>
      <c r="D185" s="154"/>
      <c r="E185" s="4" t="s">
        <v>38</v>
      </c>
      <c r="F185" s="4" t="s">
        <v>602</v>
      </c>
      <c r="G185" s="4">
        <v>3</v>
      </c>
      <c r="H185" s="154"/>
      <c r="I185" s="4">
        <v>3</v>
      </c>
      <c r="J185" s="174"/>
      <c r="K185" s="7">
        <v>8</v>
      </c>
      <c r="L185" s="4">
        <f t="shared" si="13"/>
        <v>72</v>
      </c>
      <c r="M185" s="154"/>
      <c r="N185" s="93"/>
      <c r="O185" s="93"/>
      <c r="P185" s="155"/>
      <c r="Q185" s="155"/>
      <c r="R185" s="93"/>
      <c r="S185" s="93"/>
      <c r="T185" s="93"/>
      <c r="U185" s="93"/>
      <c r="V185" s="93"/>
      <c r="HS185"/>
      <c r="HT185"/>
      <c r="HU185"/>
      <c r="HV185"/>
    </row>
    <row r="186" spans="1:232" s="87" customFormat="1" ht="30" customHeight="1" x14ac:dyDescent="0.45">
      <c r="A186" s="155"/>
      <c r="B186" s="154"/>
      <c r="C186" s="154"/>
      <c r="D186" s="154"/>
      <c r="E186" s="4" t="s">
        <v>40</v>
      </c>
      <c r="F186" s="4" t="s">
        <v>41</v>
      </c>
      <c r="G186" s="4">
        <v>3</v>
      </c>
      <c r="H186" s="154"/>
      <c r="I186" s="4">
        <v>1</v>
      </c>
      <c r="J186" s="174"/>
      <c r="K186" s="7">
        <v>8</v>
      </c>
      <c r="L186" s="4">
        <f t="shared" si="13"/>
        <v>24</v>
      </c>
      <c r="M186" s="154"/>
      <c r="N186" s="93"/>
      <c r="O186" s="93"/>
      <c r="P186" s="155"/>
      <c r="Q186" s="155"/>
      <c r="R186" s="93"/>
      <c r="S186" s="93"/>
      <c r="T186" s="93"/>
      <c r="U186" s="93"/>
      <c r="V186" s="93"/>
      <c r="HS186"/>
      <c r="HT186"/>
      <c r="HU186"/>
      <c r="HV186"/>
    </row>
    <row r="187" spans="1:232" s="87" customFormat="1" ht="22" customHeight="1" x14ac:dyDescent="0.45">
      <c r="A187" s="155" t="s">
        <v>643</v>
      </c>
      <c r="B187" s="155" t="s">
        <v>644</v>
      </c>
      <c r="C187" s="155"/>
      <c r="D187" s="154" t="s">
        <v>298</v>
      </c>
      <c r="E187" s="4" t="s">
        <v>30</v>
      </c>
      <c r="F187" s="4" t="s">
        <v>41</v>
      </c>
      <c r="G187" s="4">
        <v>3</v>
      </c>
      <c r="H187" s="154" t="s">
        <v>611</v>
      </c>
      <c r="I187" s="4">
        <v>3</v>
      </c>
      <c r="J187" s="174" t="s">
        <v>631</v>
      </c>
      <c r="K187" s="7">
        <v>8</v>
      </c>
      <c r="L187" s="4">
        <f t="shared" si="13"/>
        <v>72</v>
      </c>
      <c r="M187" s="154" t="s">
        <v>331</v>
      </c>
      <c r="N187" s="93"/>
      <c r="O187" s="93"/>
      <c r="P187" s="155"/>
      <c r="Q187" s="155"/>
      <c r="R187" s="93"/>
      <c r="S187" s="93"/>
      <c r="T187" s="93"/>
      <c r="U187" s="93"/>
      <c r="V187" s="93"/>
      <c r="HS187"/>
      <c r="HT187"/>
      <c r="HU187"/>
      <c r="HV187"/>
    </row>
    <row r="188" spans="1:232" s="87" customFormat="1" ht="39" customHeight="1" x14ac:dyDescent="0.45">
      <c r="A188" s="155"/>
      <c r="B188" s="155"/>
      <c r="C188" s="155"/>
      <c r="D188" s="154"/>
      <c r="E188" s="4" t="s">
        <v>38</v>
      </c>
      <c r="F188" s="4" t="s">
        <v>602</v>
      </c>
      <c r="G188" s="4">
        <v>3</v>
      </c>
      <c r="H188" s="154"/>
      <c r="I188" s="4">
        <v>3</v>
      </c>
      <c r="J188" s="174"/>
      <c r="K188" s="7">
        <v>8</v>
      </c>
      <c r="L188" s="4">
        <f t="shared" si="13"/>
        <v>72</v>
      </c>
      <c r="M188" s="154"/>
      <c r="N188" s="93"/>
      <c r="O188" s="93"/>
      <c r="P188" s="155"/>
      <c r="Q188" s="155"/>
      <c r="R188" s="93"/>
      <c r="S188" s="93"/>
      <c r="T188" s="93"/>
      <c r="U188" s="93"/>
      <c r="V188" s="93"/>
      <c r="HS188"/>
      <c r="HT188"/>
      <c r="HU188"/>
      <c r="HV188"/>
    </row>
    <row r="189" spans="1:232" s="87" customFormat="1" ht="36" customHeight="1" x14ac:dyDescent="0.45">
      <c r="A189" s="155"/>
      <c r="B189" s="155"/>
      <c r="C189" s="155"/>
      <c r="D189" s="154"/>
      <c r="E189" s="4" t="s">
        <v>40</v>
      </c>
      <c r="F189" s="4" t="s">
        <v>41</v>
      </c>
      <c r="G189" s="4">
        <v>3</v>
      </c>
      <c r="H189" s="154"/>
      <c r="I189" s="4">
        <v>1</v>
      </c>
      <c r="J189" s="174"/>
      <c r="K189" s="7">
        <v>8</v>
      </c>
      <c r="L189" s="4">
        <f t="shared" si="13"/>
        <v>24</v>
      </c>
      <c r="M189" s="154"/>
      <c r="N189" s="93"/>
      <c r="O189" s="93"/>
      <c r="P189" s="155"/>
      <c r="Q189" s="155"/>
      <c r="R189" s="93"/>
      <c r="S189" s="93"/>
      <c r="T189" s="93"/>
      <c r="U189" s="93"/>
      <c r="V189" s="93"/>
      <c r="HS189"/>
      <c r="HT189"/>
      <c r="HU189"/>
      <c r="HV189"/>
    </row>
    <row r="190" spans="1:232" s="87" customFormat="1" ht="35.049999999999997" customHeight="1" x14ac:dyDescent="0.45">
      <c r="A190" s="155"/>
      <c r="B190" s="155"/>
      <c r="C190" s="155"/>
      <c r="D190" s="154" t="s">
        <v>234</v>
      </c>
      <c r="E190" s="4" t="s">
        <v>30</v>
      </c>
      <c r="F190" s="4" t="s">
        <v>41</v>
      </c>
      <c r="G190" s="4">
        <v>3</v>
      </c>
      <c r="H190" s="154" t="s">
        <v>611</v>
      </c>
      <c r="I190" s="4">
        <v>3</v>
      </c>
      <c r="J190" s="174"/>
      <c r="K190" s="7">
        <v>8</v>
      </c>
      <c r="L190" s="4">
        <f t="shared" si="13"/>
        <v>72</v>
      </c>
      <c r="M190" s="154"/>
      <c r="N190" s="93"/>
      <c r="O190" s="93"/>
      <c r="P190" s="155"/>
      <c r="Q190" s="155"/>
      <c r="R190" s="93"/>
      <c r="S190" s="93"/>
      <c r="T190" s="93"/>
      <c r="U190" s="93"/>
      <c r="V190" s="93"/>
      <c r="HS190"/>
      <c r="HT190"/>
      <c r="HU190"/>
      <c r="HV190"/>
    </row>
    <row r="191" spans="1:232" s="87" customFormat="1" ht="33" customHeight="1" x14ac:dyDescent="0.45">
      <c r="A191" s="155"/>
      <c r="B191" s="155"/>
      <c r="C191" s="155"/>
      <c r="D191" s="154"/>
      <c r="E191" s="4" t="s">
        <v>38</v>
      </c>
      <c r="F191" s="4" t="s">
        <v>602</v>
      </c>
      <c r="G191" s="4">
        <v>3</v>
      </c>
      <c r="H191" s="154"/>
      <c r="I191" s="4">
        <v>3</v>
      </c>
      <c r="J191" s="174"/>
      <c r="K191" s="7">
        <v>8</v>
      </c>
      <c r="L191" s="4">
        <f t="shared" si="13"/>
        <v>72</v>
      </c>
      <c r="M191" s="154"/>
      <c r="N191" s="93"/>
      <c r="O191" s="93"/>
      <c r="P191" s="155"/>
      <c r="Q191" s="155"/>
      <c r="R191" s="93"/>
      <c r="S191" s="93"/>
      <c r="T191" s="93"/>
      <c r="U191" s="93"/>
      <c r="V191" s="93"/>
      <c r="HS191"/>
      <c r="HT191"/>
      <c r="HU191"/>
      <c r="HV191"/>
    </row>
    <row r="192" spans="1:232" s="87" customFormat="1" ht="30" customHeight="1" x14ac:dyDescent="0.45">
      <c r="A192" s="155"/>
      <c r="B192" s="155"/>
      <c r="C192" s="155"/>
      <c r="D192" s="154"/>
      <c r="E192" s="4" t="s">
        <v>40</v>
      </c>
      <c r="F192" s="4" t="s">
        <v>41</v>
      </c>
      <c r="G192" s="4">
        <v>3</v>
      </c>
      <c r="H192" s="154"/>
      <c r="I192" s="4">
        <v>1</v>
      </c>
      <c r="J192" s="174"/>
      <c r="K192" s="7">
        <v>8</v>
      </c>
      <c r="L192" s="4">
        <f t="shared" si="13"/>
        <v>24</v>
      </c>
      <c r="M192" s="154"/>
      <c r="N192" s="93"/>
      <c r="O192" s="93"/>
      <c r="P192" s="155"/>
      <c r="Q192" s="155"/>
      <c r="R192" s="93"/>
      <c r="S192" s="93"/>
      <c r="T192" s="93"/>
      <c r="U192" s="93"/>
      <c r="V192" s="93"/>
      <c r="HS192"/>
      <c r="HT192"/>
      <c r="HU192"/>
      <c r="HV192"/>
    </row>
    <row r="193" spans="1:230" ht="32.049999999999997" customHeight="1" x14ac:dyDescent="0.45">
      <c r="A193" s="154" t="s">
        <v>645</v>
      </c>
      <c r="B193" s="154" t="s">
        <v>646</v>
      </c>
      <c r="C193" s="154"/>
      <c r="D193" s="154" t="s">
        <v>647</v>
      </c>
      <c r="E193" s="4" t="s">
        <v>30</v>
      </c>
      <c r="F193" s="4" t="s">
        <v>41</v>
      </c>
      <c r="G193" s="4">
        <v>3</v>
      </c>
      <c r="H193" s="154" t="s">
        <v>329</v>
      </c>
      <c r="I193" s="4">
        <v>3</v>
      </c>
      <c r="J193" s="174" t="s">
        <v>631</v>
      </c>
      <c r="K193" s="7">
        <v>8</v>
      </c>
      <c r="L193" s="4">
        <f t="shared" si="13"/>
        <v>72</v>
      </c>
      <c r="M193" s="155" t="s">
        <v>331</v>
      </c>
      <c r="N193" s="155" t="s">
        <v>349</v>
      </c>
      <c r="O193" s="182" t="s">
        <v>514</v>
      </c>
      <c r="P193" s="154" t="s">
        <v>648</v>
      </c>
      <c r="Q193" s="154"/>
      <c r="R193" s="93">
        <v>3</v>
      </c>
      <c r="S193" s="93">
        <v>2</v>
      </c>
      <c r="T193" s="7">
        <v>5</v>
      </c>
      <c r="U193" s="4">
        <f t="shared" ref="U193:U195" si="14">R193*S193*T193</f>
        <v>30</v>
      </c>
      <c r="V193" s="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row>
    <row r="194" spans="1:230" ht="32.049999999999997" customHeight="1" x14ac:dyDescent="0.45">
      <c r="A194" s="154"/>
      <c r="B194" s="154"/>
      <c r="C194" s="154"/>
      <c r="D194" s="154"/>
      <c r="E194" s="4" t="s">
        <v>38</v>
      </c>
      <c r="F194" s="4" t="s">
        <v>602</v>
      </c>
      <c r="G194" s="4">
        <v>3</v>
      </c>
      <c r="H194" s="154"/>
      <c r="I194" s="4">
        <v>3</v>
      </c>
      <c r="J194" s="174"/>
      <c r="K194" s="7">
        <v>8</v>
      </c>
      <c r="L194" s="4">
        <f t="shared" si="13"/>
        <v>72</v>
      </c>
      <c r="M194" s="155"/>
      <c r="N194" s="155"/>
      <c r="O194" s="182"/>
      <c r="P194" s="154"/>
      <c r="Q194" s="154"/>
      <c r="R194" s="93">
        <v>3</v>
      </c>
      <c r="S194" s="93">
        <v>2</v>
      </c>
      <c r="T194" s="7">
        <v>5</v>
      </c>
      <c r="U194" s="4">
        <f t="shared" si="14"/>
        <v>30</v>
      </c>
      <c r="V194" s="93"/>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row>
    <row r="195" spans="1:230" ht="32.049999999999997" customHeight="1" x14ac:dyDescent="0.45">
      <c r="A195" s="154"/>
      <c r="B195" s="154"/>
      <c r="C195" s="154"/>
      <c r="D195" s="154"/>
      <c r="E195" s="4" t="s">
        <v>40</v>
      </c>
      <c r="F195" s="4" t="s">
        <v>41</v>
      </c>
      <c r="G195" s="4">
        <v>3</v>
      </c>
      <c r="H195" s="154"/>
      <c r="I195" s="4">
        <v>1</v>
      </c>
      <c r="J195" s="174"/>
      <c r="K195" s="7">
        <v>8</v>
      </c>
      <c r="L195" s="4">
        <f t="shared" si="13"/>
        <v>24</v>
      </c>
      <c r="M195" s="155"/>
      <c r="N195" s="155"/>
      <c r="O195" s="182"/>
      <c r="P195" s="154"/>
      <c r="Q195" s="154"/>
      <c r="R195" s="93">
        <v>3</v>
      </c>
      <c r="S195" s="93">
        <v>1</v>
      </c>
      <c r="T195" s="7">
        <v>5</v>
      </c>
      <c r="U195" s="4">
        <f t="shared" si="14"/>
        <v>15</v>
      </c>
      <c r="V195" s="93"/>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row>
    <row r="196" spans="1:230" s="87" customFormat="1" ht="22" customHeight="1" x14ac:dyDescent="0.45">
      <c r="A196" s="155" t="s">
        <v>649</v>
      </c>
      <c r="B196" s="155" t="s">
        <v>644</v>
      </c>
      <c r="C196" s="155"/>
      <c r="D196" s="154" t="s">
        <v>298</v>
      </c>
      <c r="E196" s="4" t="s">
        <v>30</v>
      </c>
      <c r="F196" s="4" t="s">
        <v>41</v>
      </c>
      <c r="G196" s="4">
        <v>3</v>
      </c>
      <c r="H196" s="154" t="s">
        <v>611</v>
      </c>
      <c r="I196" s="4">
        <v>3</v>
      </c>
      <c r="J196" s="174" t="s">
        <v>631</v>
      </c>
      <c r="K196" s="7">
        <v>8</v>
      </c>
      <c r="L196" s="4">
        <f t="shared" ref="L196:L207" si="15">G196*I196*K196</f>
        <v>72</v>
      </c>
      <c r="M196" s="155" t="s">
        <v>331</v>
      </c>
      <c r="N196" s="93"/>
      <c r="O196" s="93"/>
      <c r="P196" s="155"/>
      <c r="Q196" s="155"/>
      <c r="R196" s="93"/>
      <c r="S196" s="93"/>
      <c r="T196" s="93"/>
      <c r="U196" s="93"/>
      <c r="V196" s="93"/>
      <c r="HS196"/>
      <c r="HT196"/>
      <c r="HU196"/>
      <c r="HV196"/>
    </row>
    <row r="197" spans="1:230" s="87" customFormat="1" ht="39" customHeight="1" x14ac:dyDescent="0.45">
      <c r="A197" s="155"/>
      <c r="B197" s="155"/>
      <c r="C197" s="155"/>
      <c r="D197" s="154"/>
      <c r="E197" s="4" t="s">
        <v>38</v>
      </c>
      <c r="F197" s="4" t="s">
        <v>602</v>
      </c>
      <c r="G197" s="4">
        <v>3</v>
      </c>
      <c r="H197" s="154"/>
      <c r="I197" s="4">
        <v>3</v>
      </c>
      <c r="J197" s="174"/>
      <c r="K197" s="7">
        <v>8</v>
      </c>
      <c r="L197" s="4">
        <f t="shared" si="15"/>
        <v>72</v>
      </c>
      <c r="M197" s="155"/>
      <c r="N197" s="93"/>
      <c r="O197" s="93"/>
      <c r="P197" s="155"/>
      <c r="Q197" s="155"/>
      <c r="R197" s="93"/>
      <c r="S197" s="93"/>
      <c r="T197" s="93"/>
      <c r="U197" s="93"/>
      <c r="V197" s="93"/>
      <c r="HS197"/>
      <c r="HT197"/>
      <c r="HU197"/>
      <c r="HV197"/>
    </row>
    <row r="198" spans="1:230" s="87" customFormat="1" ht="36" customHeight="1" x14ac:dyDescent="0.45">
      <c r="A198" s="155"/>
      <c r="B198" s="155"/>
      <c r="C198" s="155"/>
      <c r="D198" s="154"/>
      <c r="E198" s="4" t="s">
        <v>40</v>
      </c>
      <c r="F198" s="4" t="s">
        <v>41</v>
      </c>
      <c r="G198" s="4">
        <v>3</v>
      </c>
      <c r="H198" s="154"/>
      <c r="I198" s="4">
        <v>1</v>
      </c>
      <c r="J198" s="174"/>
      <c r="K198" s="7">
        <v>8</v>
      </c>
      <c r="L198" s="4">
        <f t="shared" si="15"/>
        <v>24</v>
      </c>
      <c r="M198" s="155"/>
      <c r="N198" s="93"/>
      <c r="O198" s="93"/>
      <c r="P198" s="155"/>
      <c r="Q198" s="155"/>
      <c r="R198" s="93"/>
      <c r="S198" s="93"/>
      <c r="T198" s="93"/>
      <c r="U198" s="93"/>
      <c r="V198" s="93"/>
      <c r="HS198"/>
      <c r="HT198"/>
      <c r="HU198"/>
      <c r="HV198"/>
    </row>
    <row r="199" spans="1:230" s="87" customFormat="1" ht="35.049999999999997" customHeight="1" x14ac:dyDescent="0.45">
      <c r="A199" s="155"/>
      <c r="B199" s="155"/>
      <c r="C199" s="155"/>
      <c r="D199" s="154" t="s">
        <v>234</v>
      </c>
      <c r="E199" s="4" t="s">
        <v>30</v>
      </c>
      <c r="F199" s="4" t="s">
        <v>41</v>
      </c>
      <c r="G199" s="4">
        <v>3</v>
      </c>
      <c r="H199" s="154" t="s">
        <v>611</v>
      </c>
      <c r="I199" s="4">
        <v>3</v>
      </c>
      <c r="J199" s="174"/>
      <c r="K199" s="7">
        <v>8</v>
      </c>
      <c r="L199" s="4">
        <f t="shared" si="15"/>
        <v>72</v>
      </c>
      <c r="M199" s="155"/>
      <c r="N199" s="93"/>
      <c r="O199" s="93"/>
      <c r="P199" s="155"/>
      <c r="Q199" s="155"/>
      <c r="R199" s="93"/>
      <c r="S199" s="93"/>
      <c r="T199" s="93"/>
      <c r="U199" s="93"/>
      <c r="V199" s="93"/>
      <c r="HS199"/>
      <c r="HT199"/>
      <c r="HU199"/>
      <c r="HV199"/>
    </row>
    <row r="200" spans="1:230" s="87" customFormat="1" ht="33" customHeight="1" x14ac:dyDescent="0.45">
      <c r="A200" s="155"/>
      <c r="B200" s="155"/>
      <c r="C200" s="155"/>
      <c r="D200" s="154"/>
      <c r="E200" s="4" t="s">
        <v>38</v>
      </c>
      <c r="F200" s="4" t="s">
        <v>602</v>
      </c>
      <c r="G200" s="4">
        <v>3</v>
      </c>
      <c r="H200" s="154"/>
      <c r="I200" s="4">
        <v>3</v>
      </c>
      <c r="J200" s="174"/>
      <c r="K200" s="7">
        <v>8</v>
      </c>
      <c r="L200" s="4">
        <f t="shared" si="15"/>
        <v>72</v>
      </c>
      <c r="M200" s="155"/>
      <c r="N200" s="93"/>
      <c r="O200" s="93"/>
      <c r="P200" s="155"/>
      <c r="Q200" s="155"/>
      <c r="R200" s="93"/>
      <c r="S200" s="93"/>
      <c r="T200" s="93"/>
      <c r="U200" s="93"/>
      <c r="V200" s="93"/>
      <c r="HS200"/>
      <c r="HT200"/>
      <c r="HU200"/>
      <c r="HV200"/>
    </row>
    <row r="201" spans="1:230" s="87" customFormat="1" ht="32.049999999999997" customHeight="1" x14ac:dyDescent="0.45">
      <c r="A201" s="155"/>
      <c r="B201" s="155"/>
      <c r="C201" s="155"/>
      <c r="D201" s="154"/>
      <c r="E201" s="4" t="s">
        <v>40</v>
      </c>
      <c r="F201" s="4" t="s">
        <v>41</v>
      </c>
      <c r="G201" s="4">
        <v>3</v>
      </c>
      <c r="H201" s="154"/>
      <c r="I201" s="4">
        <v>1</v>
      </c>
      <c r="J201" s="174"/>
      <c r="K201" s="7">
        <v>8</v>
      </c>
      <c r="L201" s="4">
        <f t="shared" si="15"/>
        <v>24</v>
      </c>
      <c r="M201" s="155"/>
      <c r="N201" s="93"/>
      <c r="O201" s="93"/>
      <c r="P201" s="155"/>
      <c r="Q201" s="155"/>
      <c r="R201" s="93"/>
      <c r="S201" s="93"/>
      <c r="T201" s="93"/>
      <c r="U201" s="93"/>
      <c r="V201" s="93"/>
      <c r="HS201"/>
      <c r="HT201"/>
      <c r="HU201"/>
      <c r="HV201"/>
    </row>
    <row r="202" spans="1:230" s="87" customFormat="1" ht="27" customHeight="1" x14ac:dyDescent="0.45">
      <c r="A202" s="154" t="s">
        <v>299</v>
      </c>
      <c r="B202" s="154" t="s">
        <v>300</v>
      </c>
      <c r="C202" s="154"/>
      <c r="D202" s="154" t="s">
        <v>301</v>
      </c>
      <c r="E202" s="4" t="s">
        <v>30</v>
      </c>
      <c r="F202" s="4" t="s">
        <v>41</v>
      </c>
      <c r="G202" s="4">
        <v>3</v>
      </c>
      <c r="H202" s="154" t="s">
        <v>329</v>
      </c>
      <c r="I202" s="4">
        <v>3</v>
      </c>
      <c r="J202" s="174" t="s">
        <v>631</v>
      </c>
      <c r="K202" s="7">
        <v>8</v>
      </c>
      <c r="L202" s="4">
        <f t="shared" si="15"/>
        <v>72</v>
      </c>
      <c r="M202" s="155" t="s">
        <v>331</v>
      </c>
      <c r="N202" s="93"/>
      <c r="O202" s="93"/>
      <c r="P202" s="155"/>
      <c r="Q202" s="155"/>
      <c r="R202" s="93"/>
      <c r="S202" s="93"/>
      <c r="T202" s="93"/>
      <c r="U202" s="93"/>
      <c r="V202" s="93"/>
      <c r="HS202"/>
      <c r="HT202"/>
      <c r="HU202"/>
      <c r="HV202"/>
    </row>
    <row r="203" spans="1:230" s="87" customFormat="1" ht="30" customHeight="1" x14ac:dyDescent="0.45">
      <c r="A203" s="154"/>
      <c r="B203" s="154"/>
      <c r="C203" s="154"/>
      <c r="D203" s="154"/>
      <c r="E203" s="4" t="s">
        <v>38</v>
      </c>
      <c r="F203" s="4" t="s">
        <v>602</v>
      </c>
      <c r="G203" s="4">
        <v>3</v>
      </c>
      <c r="H203" s="154"/>
      <c r="I203" s="4">
        <v>3</v>
      </c>
      <c r="J203" s="174"/>
      <c r="K203" s="7">
        <v>8</v>
      </c>
      <c r="L203" s="4">
        <f t="shared" si="15"/>
        <v>72</v>
      </c>
      <c r="M203" s="155"/>
      <c r="N203" s="93"/>
      <c r="O203" s="93"/>
      <c r="P203" s="155"/>
      <c r="Q203" s="155"/>
      <c r="R203" s="93"/>
      <c r="S203" s="93"/>
      <c r="T203" s="93"/>
      <c r="U203" s="93"/>
      <c r="V203" s="93"/>
      <c r="HS203"/>
      <c r="HT203"/>
      <c r="HU203"/>
      <c r="HV203"/>
    </row>
    <row r="204" spans="1:230" s="87" customFormat="1" ht="26.05" customHeight="1" x14ac:dyDescent="0.45">
      <c r="A204" s="154"/>
      <c r="B204" s="154"/>
      <c r="C204" s="154"/>
      <c r="D204" s="154"/>
      <c r="E204" s="4" t="s">
        <v>40</v>
      </c>
      <c r="F204" s="4" t="s">
        <v>41</v>
      </c>
      <c r="G204" s="4">
        <v>3</v>
      </c>
      <c r="H204" s="154"/>
      <c r="I204" s="4">
        <v>1</v>
      </c>
      <c r="J204" s="174"/>
      <c r="K204" s="7">
        <v>8</v>
      </c>
      <c r="L204" s="4">
        <f t="shared" si="15"/>
        <v>24</v>
      </c>
      <c r="M204" s="155"/>
      <c r="N204" s="93"/>
      <c r="O204" s="93"/>
      <c r="P204" s="155"/>
      <c r="Q204" s="155"/>
      <c r="R204" s="93"/>
      <c r="S204" s="93"/>
      <c r="T204" s="93"/>
      <c r="U204" s="93"/>
      <c r="V204" s="93"/>
      <c r="HS204"/>
      <c r="HT204"/>
      <c r="HU204"/>
      <c r="HV204"/>
    </row>
    <row r="205" spans="1:230" s="87" customFormat="1" ht="24" customHeight="1" x14ac:dyDescent="0.45">
      <c r="A205" s="154"/>
      <c r="B205" s="154"/>
      <c r="C205" s="154"/>
      <c r="D205" s="154" t="s">
        <v>234</v>
      </c>
      <c r="E205" s="4" t="s">
        <v>30</v>
      </c>
      <c r="F205" s="4" t="s">
        <v>41</v>
      </c>
      <c r="G205" s="4">
        <v>3</v>
      </c>
      <c r="H205" s="154" t="s">
        <v>611</v>
      </c>
      <c r="I205" s="4">
        <v>3</v>
      </c>
      <c r="J205" s="174"/>
      <c r="K205" s="7">
        <v>8</v>
      </c>
      <c r="L205" s="4">
        <f t="shared" si="15"/>
        <v>72</v>
      </c>
      <c r="M205" s="155"/>
      <c r="N205" s="93"/>
      <c r="O205" s="93"/>
      <c r="P205" s="155"/>
      <c r="Q205" s="155"/>
      <c r="R205" s="93"/>
      <c r="S205" s="93"/>
      <c r="T205" s="93"/>
      <c r="U205" s="93"/>
      <c r="V205" s="93"/>
      <c r="HS205"/>
      <c r="HT205"/>
      <c r="HU205"/>
      <c r="HV205"/>
    </row>
    <row r="206" spans="1:230" s="87" customFormat="1" ht="26.05" customHeight="1" x14ac:dyDescent="0.45">
      <c r="A206" s="154"/>
      <c r="B206" s="154"/>
      <c r="C206" s="154"/>
      <c r="D206" s="154"/>
      <c r="E206" s="4" t="s">
        <v>38</v>
      </c>
      <c r="F206" s="4" t="s">
        <v>602</v>
      </c>
      <c r="G206" s="4">
        <v>3</v>
      </c>
      <c r="H206" s="154"/>
      <c r="I206" s="4">
        <v>3</v>
      </c>
      <c r="J206" s="174"/>
      <c r="K206" s="7">
        <v>8</v>
      </c>
      <c r="L206" s="4">
        <f t="shared" si="15"/>
        <v>72</v>
      </c>
      <c r="M206" s="155"/>
      <c r="N206" s="93"/>
      <c r="O206" s="93"/>
      <c r="P206" s="155"/>
      <c r="Q206" s="155"/>
      <c r="R206" s="93"/>
      <c r="S206" s="93"/>
      <c r="T206" s="93"/>
      <c r="U206" s="93"/>
      <c r="V206" s="93"/>
      <c r="HS206"/>
      <c r="HT206"/>
      <c r="HU206"/>
      <c r="HV206"/>
    </row>
    <row r="207" spans="1:230" s="87" customFormat="1" ht="31" customHeight="1" x14ac:dyDescent="0.45">
      <c r="A207" s="154"/>
      <c r="B207" s="154"/>
      <c r="C207" s="154"/>
      <c r="D207" s="154"/>
      <c r="E207" s="4" t="s">
        <v>40</v>
      </c>
      <c r="F207" s="4" t="s">
        <v>41</v>
      </c>
      <c r="G207" s="4">
        <v>3</v>
      </c>
      <c r="H207" s="154"/>
      <c r="I207" s="4">
        <v>1</v>
      </c>
      <c r="J207" s="174"/>
      <c r="K207" s="7">
        <v>8</v>
      </c>
      <c r="L207" s="4">
        <f t="shared" si="15"/>
        <v>24</v>
      </c>
      <c r="M207" s="155"/>
      <c r="N207" s="93"/>
      <c r="O207" s="93"/>
      <c r="P207" s="155"/>
      <c r="Q207" s="155"/>
      <c r="R207" s="93"/>
      <c r="S207" s="93"/>
      <c r="T207" s="93"/>
      <c r="U207" s="93"/>
      <c r="V207" s="93"/>
      <c r="HS207"/>
      <c r="HT207"/>
      <c r="HU207"/>
      <c r="HV207"/>
    </row>
    <row r="208" spans="1:230" s="87" customFormat="1" ht="22" customHeight="1" x14ac:dyDescent="0.45">
      <c r="A208" s="155" t="s">
        <v>650</v>
      </c>
      <c r="B208" s="155" t="s">
        <v>644</v>
      </c>
      <c r="C208" s="155"/>
      <c r="D208" s="154" t="s">
        <v>298</v>
      </c>
      <c r="E208" s="4" t="s">
        <v>30</v>
      </c>
      <c r="F208" s="4" t="s">
        <v>41</v>
      </c>
      <c r="G208" s="4">
        <v>3</v>
      </c>
      <c r="H208" s="154" t="s">
        <v>611</v>
      </c>
      <c r="I208" s="4">
        <v>3</v>
      </c>
      <c r="J208" s="174" t="s">
        <v>631</v>
      </c>
      <c r="K208" s="7">
        <v>8</v>
      </c>
      <c r="L208" s="4">
        <f t="shared" ref="L208:L216" si="16">G208*I208*K208</f>
        <v>72</v>
      </c>
      <c r="M208" s="155" t="s">
        <v>331</v>
      </c>
      <c r="N208" s="93"/>
      <c r="O208" s="93"/>
      <c r="P208" s="155"/>
      <c r="Q208" s="155"/>
      <c r="R208" s="93"/>
      <c r="S208" s="93"/>
      <c r="T208" s="93"/>
      <c r="U208" s="93"/>
      <c r="V208" s="93"/>
      <c r="HS208"/>
      <c r="HT208"/>
      <c r="HU208"/>
      <c r="HV208"/>
    </row>
    <row r="209" spans="1:230" s="87" customFormat="1" ht="35.049999999999997" customHeight="1" x14ac:dyDescent="0.45">
      <c r="A209" s="155"/>
      <c r="B209" s="155"/>
      <c r="C209" s="155"/>
      <c r="D209" s="154"/>
      <c r="E209" s="4" t="s">
        <v>38</v>
      </c>
      <c r="F209" s="4" t="s">
        <v>602</v>
      </c>
      <c r="G209" s="4">
        <v>3</v>
      </c>
      <c r="H209" s="154"/>
      <c r="I209" s="4">
        <v>3</v>
      </c>
      <c r="J209" s="174"/>
      <c r="K209" s="7">
        <v>8</v>
      </c>
      <c r="L209" s="4">
        <f t="shared" si="16"/>
        <v>72</v>
      </c>
      <c r="M209" s="155"/>
      <c r="N209" s="93"/>
      <c r="O209" s="93"/>
      <c r="P209" s="155"/>
      <c r="Q209" s="155"/>
      <c r="R209" s="93"/>
      <c r="S209" s="93"/>
      <c r="T209" s="93"/>
      <c r="U209" s="93"/>
      <c r="V209" s="93"/>
      <c r="HS209"/>
      <c r="HT209"/>
      <c r="HU209"/>
      <c r="HV209"/>
    </row>
    <row r="210" spans="1:230" s="87" customFormat="1" ht="30" customHeight="1" x14ac:dyDescent="0.45">
      <c r="A210" s="155"/>
      <c r="B210" s="155"/>
      <c r="C210" s="155"/>
      <c r="D210" s="154"/>
      <c r="E210" s="4" t="s">
        <v>40</v>
      </c>
      <c r="F210" s="4" t="s">
        <v>41</v>
      </c>
      <c r="G210" s="4">
        <v>3</v>
      </c>
      <c r="H210" s="154"/>
      <c r="I210" s="4">
        <v>1</v>
      </c>
      <c r="J210" s="174"/>
      <c r="K210" s="7">
        <v>8</v>
      </c>
      <c r="L210" s="4">
        <f t="shared" si="16"/>
        <v>24</v>
      </c>
      <c r="M210" s="155"/>
      <c r="N210" s="93"/>
      <c r="O210" s="93"/>
      <c r="P210" s="155"/>
      <c r="Q210" s="155"/>
      <c r="R210" s="93"/>
      <c r="S210" s="93"/>
      <c r="T210" s="93"/>
      <c r="U210" s="93"/>
      <c r="V210" s="93"/>
      <c r="HS210"/>
      <c r="HT210"/>
      <c r="HU210"/>
      <c r="HV210"/>
    </row>
    <row r="211" spans="1:230" s="87" customFormat="1" ht="30" customHeight="1" x14ac:dyDescent="0.45">
      <c r="A211" s="155"/>
      <c r="B211" s="155"/>
      <c r="C211" s="155"/>
      <c r="D211" s="154" t="s">
        <v>234</v>
      </c>
      <c r="E211" s="4" t="s">
        <v>30</v>
      </c>
      <c r="F211" s="4" t="s">
        <v>41</v>
      </c>
      <c r="G211" s="4">
        <v>3</v>
      </c>
      <c r="H211" s="154" t="s">
        <v>611</v>
      </c>
      <c r="I211" s="4">
        <v>3</v>
      </c>
      <c r="J211" s="174"/>
      <c r="K211" s="7">
        <v>8</v>
      </c>
      <c r="L211" s="4">
        <f t="shared" si="16"/>
        <v>72</v>
      </c>
      <c r="M211" s="155"/>
      <c r="N211" s="93"/>
      <c r="O211" s="93"/>
      <c r="P211" s="155"/>
      <c r="Q211" s="155"/>
      <c r="R211" s="93"/>
      <c r="S211" s="93"/>
      <c r="T211" s="93"/>
      <c r="U211" s="93"/>
      <c r="V211" s="93"/>
      <c r="HS211"/>
      <c r="HT211"/>
      <c r="HU211"/>
      <c r="HV211"/>
    </row>
    <row r="212" spans="1:230" s="87" customFormat="1" ht="33" customHeight="1" x14ac:dyDescent="0.45">
      <c r="A212" s="155"/>
      <c r="B212" s="155"/>
      <c r="C212" s="155"/>
      <c r="D212" s="154"/>
      <c r="E212" s="4" t="s">
        <v>38</v>
      </c>
      <c r="F212" s="4" t="s">
        <v>602</v>
      </c>
      <c r="G212" s="4">
        <v>3</v>
      </c>
      <c r="H212" s="154"/>
      <c r="I212" s="4">
        <v>3</v>
      </c>
      <c r="J212" s="174"/>
      <c r="K212" s="7">
        <v>8</v>
      </c>
      <c r="L212" s="4">
        <f t="shared" si="16"/>
        <v>72</v>
      </c>
      <c r="M212" s="155"/>
      <c r="N212" s="93"/>
      <c r="O212" s="93"/>
      <c r="P212" s="155"/>
      <c r="Q212" s="155"/>
      <c r="R212" s="93"/>
      <c r="S212" s="93"/>
      <c r="T212" s="93"/>
      <c r="U212" s="93"/>
      <c r="V212" s="93"/>
      <c r="HS212"/>
      <c r="HT212"/>
      <c r="HU212"/>
      <c r="HV212"/>
    </row>
    <row r="213" spans="1:230" s="87" customFormat="1" ht="30" customHeight="1" x14ac:dyDescent="0.45">
      <c r="A213" s="155"/>
      <c r="B213" s="155"/>
      <c r="C213" s="155"/>
      <c r="D213" s="154"/>
      <c r="E213" s="4" t="s">
        <v>40</v>
      </c>
      <c r="F213" s="4" t="s">
        <v>41</v>
      </c>
      <c r="G213" s="4">
        <v>3</v>
      </c>
      <c r="H213" s="154"/>
      <c r="I213" s="4">
        <v>1</v>
      </c>
      <c r="J213" s="174"/>
      <c r="K213" s="7">
        <v>8</v>
      </c>
      <c r="L213" s="4">
        <f t="shared" si="16"/>
        <v>24</v>
      </c>
      <c r="M213" s="155"/>
      <c r="N213" s="93"/>
      <c r="O213" s="93"/>
      <c r="P213" s="155"/>
      <c r="Q213" s="155"/>
      <c r="R213" s="93"/>
      <c r="S213" s="93"/>
      <c r="T213" s="93"/>
      <c r="U213" s="93"/>
      <c r="V213" s="93"/>
      <c r="HS213"/>
      <c r="HT213"/>
      <c r="HU213"/>
      <c r="HV213"/>
    </row>
    <row r="214" spans="1:230" s="87" customFormat="1" ht="33" customHeight="1" x14ac:dyDescent="0.45">
      <c r="A214" s="154" t="s">
        <v>309</v>
      </c>
      <c r="B214" s="154" t="s">
        <v>651</v>
      </c>
      <c r="C214" s="154"/>
      <c r="D214" s="154" t="s">
        <v>652</v>
      </c>
      <c r="E214" s="4" t="s">
        <v>30</v>
      </c>
      <c r="F214" s="4" t="s">
        <v>41</v>
      </c>
      <c r="G214" s="4">
        <v>3</v>
      </c>
      <c r="H214" s="154" t="s">
        <v>600</v>
      </c>
      <c r="I214" s="4">
        <v>3</v>
      </c>
      <c r="J214" s="174" t="s">
        <v>631</v>
      </c>
      <c r="K214" s="7">
        <v>8</v>
      </c>
      <c r="L214" s="4">
        <f t="shared" si="16"/>
        <v>72</v>
      </c>
      <c r="M214" s="154" t="s">
        <v>331</v>
      </c>
      <c r="N214" s="93"/>
      <c r="O214" s="93"/>
      <c r="P214" s="155"/>
      <c r="Q214" s="155"/>
      <c r="R214" s="93"/>
      <c r="S214" s="93"/>
      <c r="T214" s="93"/>
      <c r="U214" s="93"/>
      <c r="V214" s="93"/>
      <c r="HS214"/>
      <c r="HT214"/>
      <c r="HU214"/>
      <c r="HV214"/>
    </row>
    <row r="215" spans="1:230" s="87" customFormat="1" ht="42" customHeight="1" x14ac:dyDescent="0.45">
      <c r="A215" s="154"/>
      <c r="B215" s="154"/>
      <c r="C215" s="154"/>
      <c r="D215" s="154"/>
      <c r="E215" s="4" t="s">
        <v>38</v>
      </c>
      <c r="F215" s="4" t="s">
        <v>130</v>
      </c>
      <c r="G215" s="4">
        <v>3</v>
      </c>
      <c r="H215" s="154"/>
      <c r="I215" s="4">
        <v>3</v>
      </c>
      <c r="J215" s="174"/>
      <c r="K215" s="7">
        <v>8</v>
      </c>
      <c r="L215" s="4">
        <f t="shared" si="16"/>
        <v>72</v>
      </c>
      <c r="M215" s="154"/>
      <c r="N215" s="93"/>
      <c r="O215" s="93"/>
      <c r="P215" s="155"/>
      <c r="Q215" s="155"/>
      <c r="R215" s="93"/>
      <c r="S215" s="93"/>
      <c r="T215" s="93"/>
      <c r="U215" s="93"/>
      <c r="V215" s="93"/>
      <c r="HS215"/>
      <c r="HT215"/>
      <c r="HU215"/>
      <c r="HV215"/>
    </row>
    <row r="216" spans="1:230" s="87" customFormat="1" ht="33" customHeight="1" x14ac:dyDescent="0.45">
      <c r="A216" s="154"/>
      <c r="B216" s="154"/>
      <c r="C216" s="154"/>
      <c r="D216" s="154"/>
      <c r="E216" s="4" t="s">
        <v>40</v>
      </c>
      <c r="F216" s="4" t="s">
        <v>41</v>
      </c>
      <c r="G216" s="4">
        <v>3</v>
      </c>
      <c r="H216" s="154"/>
      <c r="I216" s="4">
        <v>1</v>
      </c>
      <c r="J216" s="174"/>
      <c r="K216" s="7">
        <v>8</v>
      </c>
      <c r="L216" s="4">
        <f t="shared" si="16"/>
        <v>24</v>
      </c>
      <c r="M216" s="154"/>
      <c r="N216" s="93"/>
      <c r="O216" s="93"/>
      <c r="P216" s="155"/>
      <c r="Q216" s="155"/>
      <c r="R216" s="93"/>
      <c r="S216" s="93"/>
      <c r="T216" s="93"/>
      <c r="U216" s="93"/>
      <c r="V216" s="93"/>
      <c r="HS216"/>
      <c r="HT216"/>
      <c r="HU216"/>
      <c r="HV216"/>
    </row>
    <row r="217" spans="1:230" s="87" customFormat="1" ht="39" customHeight="1" x14ac:dyDescent="0.45">
      <c r="A217" s="155" t="s">
        <v>653</v>
      </c>
      <c r="B217" s="155" t="s">
        <v>654</v>
      </c>
      <c r="C217" s="155"/>
      <c r="D217" s="155" t="s">
        <v>655</v>
      </c>
      <c r="E217" s="4" t="s">
        <v>30</v>
      </c>
      <c r="F217" s="4" t="s">
        <v>586</v>
      </c>
      <c r="G217" s="112">
        <v>2</v>
      </c>
      <c r="H217" s="155" t="s">
        <v>587</v>
      </c>
      <c r="I217" s="173">
        <v>2</v>
      </c>
      <c r="J217" s="155" t="s">
        <v>656</v>
      </c>
      <c r="K217" s="178">
        <v>8</v>
      </c>
      <c r="L217" s="4">
        <f>K217*I217*G217</f>
        <v>32</v>
      </c>
      <c r="M217" s="181" t="s">
        <v>331</v>
      </c>
      <c r="N217" s="93"/>
      <c r="O217" s="93"/>
      <c r="P217" s="155"/>
      <c r="Q217" s="155"/>
      <c r="R217" s="112"/>
      <c r="S217" s="95"/>
      <c r="T217" s="7"/>
      <c r="U217" s="7"/>
      <c r="V217" s="4"/>
      <c r="HK217"/>
      <c r="HL217"/>
      <c r="HM217"/>
      <c r="HN217"/>
      <c r="HO217"/>
      <c r="HP217"/>
      <c r="HQ217"/>
      <c r="HR217"/>
      <c r="HS217"/>
      <c r="HT217"/>
      <c r="HU217"/>
      <c r="HV217"/>
    </row>
    <row r="218" spans="1:230" s="87" customFormat="1" ht="39" customHeight="1" x14ac:dyDescent="0.45">
      <c r="A218" s="155"/>
      <c r="B218" s="155"/>
      <c r="C218" s="155"/>
      <c r="D218" s="155"/>
      <c r="E218" s="4" t="s">
        <v>38</v>
      </c>
      <c r="F218" s="7" t="s">
        <v>589</v>
      </c>
      <c r="G218" s="112">
        <v>5</v>
      </c>
      <c r="H218" s="155"/>
      <c r="I218" s="173"/>
      <c r="J218" s="155"/>
      <c r="K218" s="178"/>
      <c r="L218" s="4">
        <f>K217*I217*G218</f>
        <v>80</v>
      </c>
      <c r="M218" s="181"/>
      <c r="N218" s="93"/>
      <c r="O218" s="93"/>
      <c r="P218" s="155"/>
      <c r="Q218" s="155"/>
      <c r="R218" s="112"/>
      <c r="S218" s="95"/>
      <c r="T218" s="7"/>
      <c r="U218" s="7"/>
      <c r="V218" s="4"/>
      <c r="HK218"/>
      <c r="HL218"/>
      <c r="HM218"/>
      <c r="HN218"/>
      <c r="HO218"/>
      <c r="HP218"/>
      <c r="HQ218"/>
      <c r="HR218"/>
      <c r="HS218"/>
      <c r="HT218"/>
      <c r="HU218"/>
      <c r="HV218"/>
    </row>
    <row r="219" spans="1:230" s="88" customFormat="1" ht="39" customHeight="1" x14ac:dyDescent="0.45">
      <c r="A219" s="155"/>
      <c r="B219" s="155"/>
      <c r="C219" s="155"/>
      <c r="D219" s="155"/>
      <c r="E219" s="7" t="s">
        <v>40</v>
      </c>
      <c r="F219" s="4" t="s">
        <v>590</v>
      </c>
      <c r="G219" s="7">
        <v>2</v>
      </c>
      <c r="H219" s="155"/>
      <c r="I219" s="173"/>
      <c r="J219" s="155"/>
      <c r="K219" s="178"/>
      <c r="L219" s="4">
        <f>K217*I217*G219</f>
        <v>32</v>
      </c>
      <c r="M219" s="181"/>
      <c r="N219" s="93"/>
      <c r="O219" s="93"/>
      <c r="P219" s="155"/>
      <c r="Q219" s="155"/>
      <c r="R219" s="7"/>
      <c r="S219" s="7"/>
      <c r="T219" s="7"/>
      <c r="U219" s="7"/>
      <c r="V219" s="7"/>
    </row>
    <row r="220" spans="1:230" s="88" customFormat="1" ht="39" customHeight="1" x14ac:dyDescent="0.45">
      <c r="A220" s="155"/>
      <c r="B220" s="155"/>
      <c r="C220" s="155"/>
      <c r="D220" s="155" t="s">
        <v>657</v>
      </c>
      <c r="E220" s="7" t="s">
        <v>30</v>
      </c>
      <c r="F220" s="7" t="s">
        <v>658</v>
      </c>
      <c r="G220" s="7">
        <v>7</v>
      </c>
      <c r="H220" s="155" t="s">
        <v>659</v>
      </c>
      <c r="I220" s="155">
        <v>2</v>
      </c>
      <c r="J220" s="155"/>
      <c r="K220" s="155">
        <v>8</v>
      </c>
      <c r="L220" s="4">
        <f>K220*I220*G220</f>
        <v>112</v>
      </c>
      <c r="M220" s="181"/>
      <c r="N220" s="93"/>
      <c r="O220" s="93"/>
      <c r="P220" s="155"/>
      <c r="Q220" s="155"/>
      <c r="R220" s="7"/>
      <c r="S220" s="7"/>
      <c r="T220" s="7"/>
      <c r="U220" s="7"/>
      <c r="V220" s="7"/>
    </row>
    <row r="221" spans="1:230" s="88" customFormat="1" ht="39" customHeight="1" x14ac:dyDescent="0.45">
      <c r="A221" s="155"/>
      <c r="B221" s="155"/>
      <c r="C221" s="155"/>
      <c r="D221" s="155"/>
      <c r="E221" s="7" t="s">
        <v>38</v>
      </c>
      <c r="F221" s="98" t="s">
        <v>660</v>
      </c>
      <c r="G221" s="7">
        <v>6</v>
      </c>
      <c r="H221" s="155"/>
      <c r="I221" s="155"/>
      <c r="J221" s="155"/>
      <c r="K221" s="155"/>
      <c r="L221" s="4">
        <f>K220*I220*G221</f>
        <v>96</v>
      </c>
      <c r="M221" s="181"/>
      <c r="N221" s="93"/>
      <c r="O221" s="93"/>
      <c r="P221" s="155"/>
      <c r="Q221" s="155"/>
      <c r="R221" s="7"/>
      <c r="S221" s="7"/>
      <c r="T221" s="7"/>
      <c r="U221" s="7"/>
      <c r="V221" s="7"/>
    </row>
    <row r="222" spans="1:230" s="88" customFormat="1" ht="39" customHeight="1" x14ac:dyDescent="0.45">
      <c r="A222" s="155"/>
      <c r="B222" s="155"/>
      <c r="C222" s="155"/>
      <c r="D222" s="155"/>
      <c r="E222" s="7" t="s">
        <v>40</v>
      </c>
      <c r="F222" s="98" t="s">
        <v>658</v>
      </c>
      <c r="G222" s="7">
        <v>7</v>
      </c>
      <c r="H222" s="155"/>
      <c r="I222" s="155"/>
      <c r="J222" s="155"/>
      <c r="K222" s="155"/>
      <c r="L222" s="4">
        <f>K220*I220*G222</f>
        <v>112</v>
      </c>
      <c r="M222" s="181"/>
      <c r="N222" s="93"/>
      <c r="O222" s="93"/>
      <c r="P222" s="155"/>
      <c r="Q222" s="155"/>
      <c r="R222" s="7"/>
      <c r="S222" s="7"/>
      <c r="T222" s="7"/>
      <c r="U222" s="7"/>
      <c r="V222" s="7"/>
    </row>
    <row r="223" spans="1:230" s="87" customFormat="1" ht="39" customHeight="1" x14ac:dyDescent="0.45">
      <c r="A223" s="155" t="s">
        <v>661</v>
      </c>
      <c r="B223" s="155" t="s">
        <v>662</v>
      </c>
      <c r="C223" s="155"/>
      <c r="D223" s="155" t="s">
        <v>655</v>
      </c>
      <c r="E223" s="4" t="s">
        <v>30</v>
      </c>
      <c r="F223" s="4" t="s">
        <v>586</v>
      </c>
      <c r="G223" s="112">
        <v>2</v>
      </c>
      <c r="H223" s="155" t="s">
        <v>587</v>
      </c>
      <c r="I223" s="173">
        <v>2</v>
      </c>
      <c r="J223" s="155" t="s">
        <v>656</v>
      </c>
      <c r="K223" s="178">
        <v>8</v>
      </c>
      <c r="L223" s="4">
        <f>K223*I223*G223</f>
        <v>32</v>
      </c>
      <c r="M223" s="181" t="s">
        <v>331</v>
      </c>
      <c r="N223" s="93"/>
      <c r="O223" s="93"/>
      <c r="P223" s="155"/>
      <c r="Q223" s="155"/>
      <c r="R223" s="112"/>
      <c r="S223" s="95"/>
      <c r="T223" s="7"/>
      <c r="U223" s="7"/>
      <c r="V223" s="4"/>
      <c r="HK223"/>
      <c r="HL223"/>
      <c r="HM223"/>
      <c r="HN223"/>
      <c r="HO223"/>
      <c r="HP223"/>
      <c r="HQ223"/>
      <c r="HR223"/>
      <c r="HS223"/>
      <c r="HT223"/>
      <c r="HU223"/>
      <c r="HV223"/>
    </row>
    <row r="224" spans="1:230" s="87" customFormat="1" ht="35.049999999999997" customHeight="1" x14ac:dyDescent="0.45">
      <c r="A224" s="155"/>
      <c r="B224" s="155"/>
      <c r="C224" s="155"/>
      <c r="D224" s="155"/>
      <c r="E224" s="4" t="s">
        <v>38</v>
      </c>
      <c r="F224" s="7" t="s">
        <v>589</v>
      </c>
      <c r="G224" s="112">
        <v>5</v>
      </c>
      <c r="H224" s="155"/>
      <c r="I224" s="173"/>
      <c r="J224" s="155"/>
      <c r="K224" s="178"/>
      <c r="L224" s="4">
        <f>K223*I223*G224</f>
        <v>80</v>
      </c>
      <c r="M224" s="181"/>
      <c r="N224" s="93"/>
      <c r="O224" s="93"/>
      <c r="P224" s="155"/>
      <c r="Q224" s="155"/>
      <c r="R224" s="112"/>
      <c r="S224" s="95"/>
      <c r="T224" s="7"/>
      <c r="U224" s="7"/>
      <c r="V224" s="4"/>
      <c r="HK224"/>
      <c r="HL224"/>
      <c r="HM224"/>
      <c r="HN224"/>
      <c r="HO224"/>
      <c r="HP224"/>
      <c r="HQ224"/>
      <c r="HR224"/>
      <c r="HS224"/>
      <c r="HT224"/>
      <c r="HU224"/>
      <c r="HV224"/>
    </row>
    <row r="225" spans="1:230" s="88" customFormat="1" ht="24" customHeight="1" x14ac:dyDescent="0.45">
      <c r="A225" s="155"/>
      <c r="B225" s="155"/>
      <c r="C225" s="155"/>
      <c r="D225" s="155"/>
      <c r="E225" s="7" t="s">
        <v>40</v>
      </c>
      <c r="F225" s="4" t="s">
        <v>590</v>
      </c>
      <c r="G225" s="7">
        <v>2</v>
      </c>
      <c r="H225" s="155"/>
      <c r="I225" s="173"/>
      <c r="J225" s="155"/>
      <c r="K225" s="178"/>
      <c r="L225" s="4">
        <f>K223*I223*G225</f>
        <v>32</v>
      </c>
      <c r="M225" s="181"/>
      <c r="N225" s="93"/>
      <c r="O225" s="93"/>
      <c r="P225" s="155"/>
      <c r="Q225" s="155"/>
      <c r="R225" s="7"/>
      <c r="S225" s="7"/>
      <c r="T225" s="7"/>
      <c r="U225" s="7"/>
      <c r="V225" s="7"/>
    </row>
    <row r="226" spans="1:230" s="88" customFormat="1" ht="36" customHeight="1" x14ac:dyDescent="0.45">
      <c r="A226" s="155"/>
      <c r="B226" s="155"/>
      <c r="C226" s="155"/>
      <c r="D226" s="155" t="s">
        <v>657</v>
      </c>
      <c r="E226" s="7" t="s">
        <v>30</v>
      </c>
      <c r="F226" s="7" t="s">
        <v>658</v>
      </c>
      <c r="G226" s="7">
        <v>7</v>
      </c>
      <c r="H226" s="155" t="s">
        <v>659</v>
      </c>
      <c r="I226" s="155">
        <v>2</v>
      </c>
      <c r="J226" s="155"/>
      <c r="K226" s="155">
        <v>8</v>
      </c>
      <c r="L226" s="4">
        <f>K226*I226*G226</f>
        <v>112</v>
      </c>
      <c r="M226" s="181"/>
      <c r="N226" s="93"/>
      <c r="O226" s="93"/>
      <c r="P226" s="155"/>
      <c r="Q226" s="155"/>
      <c r="R226" s="7"/>
      <c r="S226" s="7"/>
      <c r="T226" s="7"/>
      <c r="U226" s="7"/>
      <c r="V226" s="7"/>
    </row>
    <row r="227" spans="1:230" s="88" customFormat="1" ht="32.049999999999997" customHeight="1" x14ac:dyDescent="0.45">
      <c r="A227" s="155"/>
      <c r="B227" s="155"/>
      <c r="C227" s="155"/>
      <c r="D227" s="155"/>
      <c r="E227" s="7" t="s">
        <v>38</v>
      </c>
      <c r="F227" s="98" t="s">
        <v>660</v>
      </c>
      <c r="G227" s="7">
        <v>6</v>
      </c>
      <c r="H227" s="155"/>
      <c r="I227" s="155"/>
      <c r="J227" s="155"/>
      <c r="K227" s="155"/>
      <c r="L227" s="4">
        <f>K226*I226*G227</f>
        <v>96</v>
      </c>
      <c r="M227" s="181"/>
      <c r="N227" s="93"/>
      <c r="O227" s="93"/>
      <c r="P227" s="155"/>
      <c r="Q227" s="155"/>
      <c r="R227" s="7"/>
      <c r="S227" s="7"/>
      <c r="T227" s="7"/>
      <c r="U227" s="7"/>
      <c r="V227" s="7"/>
    </row>
    <row r="228" spans="1:230" s="88" customFormat="1" ht="39" customHeight="1" x14ac:dyDescent="0.45">
      <c r="A228" s="155"/>
      <c r="B228" s="155"/>
      <c r="C228" s="155"/>
      <c r="D228" s="155"/>
      <c r="E228" s="7" t="s">
        <v>40</v>
      </c>
      <c r="F228" s="98" t="s">
        <v>658</v>
      </c>
      <c r="G228" s="7">
        <v>7</v>
      </c>
      <c r="H228" s="155"/>
      <c r="I228" s="155"/>
      <c r="J228" s="155"/>
      <c r="K228" s="155"/>
      <c r="L228" s="4">
        <f>K226*I226*G228</f>
        <v>112</v>
      </c>
      <c r="M228" s="181"/>
      <c r="N228" s="93"/>
      <c r="O228" s="93"/>
      <c r="P228" s="155"/>
      <c r="Q228" s="155"/>
      <c r="R228" s="7"/>
      <c r="S228" s="7"/>
      <c r="T228" s="7"/>
      <c r="U228" s="7"/>
      <c r="V228" s="7"/>
    </row>
    <row r="229" spans="1:230" s="87" customFormat="1" ht="39" customHeight="1" x14ac:dyDescent="0.45">
      <c r="A229" s="155" t="s">
        <v>663</v>
      </c>
      <c r="B229" s="155" t="s">
        <v>664</v>
      </c>
      <c r="C229" s="155"/>
      <c r="D229" s="155" t="s">
        <v>585</v>
      </c>
      <c r="E229" s="4" t="s">
        <v>30</v>
      </c>
      <c r="F229" s="4" t="s">
        <v>586</v>
      </c>
      <c r="G229" s="112">
        <v>2</v>
      </c>
      <c r="H229" s="155" t="s">
        <v>587</v>
      </c>
      <c r="I229" s="173">
        <v>2</v>
      </c>
      <c r="J229" s="160" t="s">
        <v>665</v>
      </c>
      <c r="K229" s="178">
        <v>8</v>
      </c>
      <c r="L229" s="4">
        <f>K229*I229*G229</f>
        <v>32</v>
      </c>
      <c r="M229" s="181" t="s">
        <v>331</v>
      </c>
      <c r="N229" s="93"/>
      <c r="O229" s="98"/>
      <c r="P229" s="155"/>
      <c r="Q229" s="155"/>
      <c r="R229" s="95"/>
      <c r="S229" s="98"/>
      <c r="T229" s="98"/>
      <c r="U229" s="98"/>
      <c r="V229" s="93"/>
      <c r="HK229"/>
      <c r="HL229"/>
      <c r="HM229"/>
      <c r="HN229"/>
      <c r="HO229"/>
      <c r="HP229"/>
      <c r="HQ229"/>
      <c r="HR229"/>
      <c r="HS229"/>
      <c r="HT229"/>
      <c r="HU229"/>
      <c r="HV229"/>
    </row>
    <row r="230" spans="1:230" s="87" customFormat="1" ht="39" customHeight="1" x14ac:dyDescent="0.45">
      <c r="A230" s="155"/>
      <c r="B230" s="155"/>
      <c r="C230" s="155"/>
      <c r="D230" s="155"/>
      <c r="E230" s="4" t="s">
        <v>38</v>
      </c>
      <c r="F230" s="7" t="s">
        <v>589</v>
      </c>
      <c r="G230" s="112">
        <v>5</v>
      </c>
      <c r="H230" s="155"/>
      <c r="I230" s="173"/>
      <c r="J230" s="160"/>
      <c r="K230" s="178"/>
      <c r="L230" s="4">
        <f>K229*I229*G230</f>
        <v>80</v>
      </c>
      <c r="M230" s="181"/>
      <c r="N230" s="93"/>
      <c r="O230" s="98"/>
      <c r="P230" s="155"/>
      <c r="Q230" s="155"/>
      <c r="R230" s="95"/>
      <c r="S230" s="98"/>
      <c r="T230" s="98"/>
      <c r="U230" s="98"/>
      <c r="V230" s="93"/>
      <c r="HK230"/>
      <c r="HL230"/>
      <c r="HM230"/>
      <c r="HN230"/>
      <c r="HO230"/>
      <c r="HP230"/>
      <c r="HQ230"/>
      <c r="HR230"/>
      <c r="HS230"/>
      <c r="HT230"/>
      <c r="HU230"/>
      <c r="HV230"/>
    </row>
    <row r="231" spans="1:230" s="88" customFormat="1" ht="39" customHeight="1" x14ac:dyDescent="0.45">
      <c r="A231" s="155"/>
      <c r="B231" s="155"/>
      <c r="C231" s="155"/>
      <c r="D231" s="155"/>
      <c r="E231" s="7" t="s">
        <v>40</v>
      </c>
      <c r="F231" s="4" t="s">
        <v>590</v>
      </c>
      <c r="G231" s="7">
        <v>2</v>
      </c>
      <c r="H231" s="155"/>
      <c r="I231" s="173"/>
      <c r="J231" s="160"/>
      <c r="K231" s="178"/>
      <c r="L231" s="4">
        <f>K229*I229*G231</f>
        <v>32</v>
      </c>
      <c r="M231" s="181"/>
      <c r="N231" s="93"/>
      <c r="O231" s="98"/>
      <c r="P231" s="155"/>
      <c r="Q231" s="155"/>
      <c r="R231" s="98"/>
      <c r="S231" s="98"/>
      <c r="T231" s="98"/>
      <c r="U231" s="98"/>
      <c r="V231" s="98"/>
    </row>
    <row r="232" spans="1:230" s="88" customFormat="1" ht="39" customHeight="1" x14ac:dyDescent="0.45">
      <c r="A232" s="155"/>
      <c r="B232" s="155"/>
      <c r="C232" s="155"/>
      <c r="D232" s="155" t="s">
        <v>657</v>
      </c>
      <c r="E232" s="7" t="s">
        <v>30</v>
      </c>
      <c r="F232" s="7" t="s">
        <v>658</v>
      </c>
      <c r="G232" s="7">
        <v>7</v>
      </c>
      <c r="H232" s="155" t="s">
        <v>659</v>
      </c>
      <c r="I232" s="155">
        <v>2</v>
      </c>
      <c r="J232" s="160"/>
      <c r="K232" s="155">
        <v>7</v>
      </c>
      <c r="L232" s="4">
        <f>K232*I232*G232</f>
        <v>98</v>
      </c>
      <c r="M232" s="181"/>
      <c r="N232" s="93"/>
      <c r="O232" s="98"/>
      <c r="P232" s="155"/>
      <c r="Q232" s="155"/>
      <c r="R232" s="98"/>
      <c r="S232" s="98"/>
      <c r="T232" s="98"/>
      <c r="U232" s="98"/>
      <c r="V232" s="98"/>
    </row>
    <row r="233" spans="1:230" s="88" customFormat="1" ht="39" customHeight="1" x14ac:dyDescent="0.45">
      <c r="A233" s="155"/>
      <c r="B233" s="155"/>
      <c r="C233" s="155"/>
      <c r="D233" s="155"/>
      <c r="E233" s="7" t="s">
        <v>38</v>
      </c>
      <c r="F233" s="98" t="s">
        <v>660</v>
      </c>
      <c r="G233" s="7">
        <v>6</v>
      </c>
      <c r="H233" s="155"/>
      <c r="I233" s="155"/>
      <c r="J233" s="160"/>
      <c r="K233" s="155"/>
      <c r="L233" s="4">
        <f>K232*I232*G233</f>
        <v>84</v>
      </c>
      <c r="M233" s="181"/>
      <c r="N233" s="93"/>
      <c r="O233" s="98"/>
      <c r="P233" s="155"/>
      <c r="Q233" s="155"/>
      <c r="R233" s="98"/>
      <c r="S233" s="98"/>
      <c r="T233" s="98"/>
      <c r="U233" s="98"/>
      <c r="V233" s="98"/>
    </row>
    <row r="234" spans="1:230" s="88" customFormat="1" ht="39" customHeight="1" x14ac:dyDescent="0.45">
      <c r="A234" s="155"/>
      <c r="B234" s="155"/>
      <c r="C234" s="155"/>
      <c r="D234" s="155"/>
      <c r="E234" s="7" t="s">
        <v>40</v>
      </c>
      <c r="F234" s="98" t="s">
        <v>658</v>
      </c>
      <c r="G234" s="7">
        <v>7</v>
      </c>
      <c r="H234" s="155"/>
      <c r="I234" s="155"/>
      <c r="J234" s="160"/>
      <c r="K234" s="155"/>
      <c r="L234" s="4">
        <f>K232*I232*G234</f>
        <v>98</v>
      </c>
      <c r="M234" s="181"/>
      <c r="N234" s="93"/>
      <c r="O234" s="98"/>
      <c r="P234" s="155"/>
      <c r="Q234" s="155"/>
      <c r="R234" s="98"/>
      <c r="S234" s="98"/>
      <c r="T234" s="98"/>
      <c r="U234" s="98"/>
      <c r="V234" s="98"/>
    </row>
    <row r="235" spans="1:230" s="87" customFormat="1" ht="39" customHeight="1" x14ac:dyDescent="0.45">
      <c r="A235" s="155" t="s">
        <v>666</v>
      </c>
      <c r="B235" s="155" t="s">
        <v>667</v>
      </c>
      <c r="C235" s="155"/>
      <c r="D235" s="155" t="s">
        <v>585</v>
      </c>
      <c r="E235" s="4" t="s">
        <v>30</v>
      </c>
      <c r="F235" s="4" t="s">
        <v>586</v>
      </c>
      <c r="G235" s="112">
        <v>2</v>
      </c>
      <c r="H235" s="155" t="s">
        <v>587</v>
      </c>
      <c r="I235" s="173">
        <v>2</v>
      </c>
      <c r="J235" s="160" t="s">
        <v>665</v>
      </c>
      <c r="K235" s="178">
        <v>8</v>
      </c>
      <c r="L235" s="4">
        <f>K235*I235*G235</f>
        <v>32</v>
      </c>
      <c r="M235" s="181" t="s">
        <v>331</v>
      </c>
      <c r="N235" s="93"/>
      <c r="O235" s="98"/>
      <c r="P235" s="155"/>
      <c r="Q235" s="155"/>
      <c r="R235" s="95"/>
      <c r="S235" s="98"/>
      <c r="T235" s="98"/>
      <c r="U235" s="98"/>
      <c r="V235" s="93"/>
      <c r="HK235"/>
      <c r="HL235"/>
      <c r="HM235"/>
      <c r="HN235"/>
      <c r="HO235"/>
      <c r="HP235"/>
      <c r="HQ235"/>
      <c r="HR235"/>
      <c r="HS235"/>
      <c r="HT235"/>
      <c r="HU235"/>
      <c r="HV235"/>
    </row>
    <row r="236" spans="1:230" s="87" customFormat="1" ht="39" customHeight="1" x14ac:dyDescent="0.45">
      <c r="A236" s="155"/>
      <c r="B236" s="155"/>
      <c r="C236" s="155"/>
      <c r="D236" s="155"/>
      <c r="E236" s="4" t="s">
        <v>38</v>
      </c>
      <c r="F236" s="7" t="s">
        <v>589</v>
      </c>
      <c r="G236" s="112">
        <v>5</v>
      </c>
      <c r="H236" s="155"/>
      <c r="I236" s="173"/>
      <c r="J236" s="160"/>
      <c r="K236" s="178"/>
      <c r="L236" s="4">
        <f>K235*I235*G236</f>
        <v>80</v>
      </c>
      <c r="M236" s="181"/>
      <c r="N236" s="93"/>
      <c r="O236" s="98"/>
      <c r="P236" s="155"/>
      <c r="Q236" s="155"/>
      <c r="R236" s="95"/>
      <c r="S236" s="98"/>
      <c r="T236" s="98"/>
      <c r="U236" s="98"/>
      <c r="V236" s="93"/>
      <c r="HK236"/>
      <c r="HL236"/>
      <c r="HM236"/>
      <c r="HN236"/>
      <c r="HO236"/>
      <c r="HP236"/>
      <c r="HQ236"/>
      <c r="HR236"/>
      <c r="HS236"/>
      <c r="HT236"/>
      <c r="HU236"/>
      <c r="HV236"/>
    </row>
    <row r="237" spans="1:230" s="88" customFormat="1" ht="39" customHeight="1" x14ac:dyDescent="0.45">
      <c r="A237" s="155"/>
      <c r="B237" s="155"/>
      <c r="C237" s="155"/>
      <c r="D237" s="155"/>
      <c r="E237" s="7" t="s">
        <v>40</v>
      </c>
      <c r="F237" s="4" t="s">
        <v>590</v>
      </c>
      <c r="G237" s="7">
        <v>2</v>
      </c>
      <c r="H237" s="155"/>
      <c r="I237" s="173"/>
      <c r="J237" s="160"/>
      <c r="K237" s="178"/>
      <c r="L237" s="4">
        <f>K235*I235*G237</f>
        <v>32</v>
      </c>
      <c r="M237" s="181"/>
      <c r="N237" s="93"/>
      <c r="O237" s="98"/>
      <c r="P237" s="155"/>
      <c r="Q237" s="155"/>
      <c r="R237" s="98"/>
      <c r="S237" s="98"/>
      <c r="T237" s="98"/>
      <c r="U237" s="98"/>
      <c r="V237" s="98"/>
    </row>
    <row r="238" spans="1:230" s="88" customFormat="1" ht="49" customHeight="1" x14ac:dyDescent="0.45">
      <c r="A238" s="155"/>
      <c r="B238" s="155"/>
      <c r="C238" s="155"/>
      <c r="D238" s="155" t="s">
        <v>657</v>
      </c>
      <c r="E238" s="7" t="s">
        <v>30</v>
      </c>
      <c r="F238" s="7" t="s">
        <v>658</v>
      </c>
      <c r="G238" s="7">
        <v>7</v>
      </c>
      <c r="H238" s="155" t="s">
        <v>659</v>
      </c>
      <c r="I238" s="155">
        <v>2</v>
      </c>
      <c r="J238" s="160"/>
      <c r="K238" s="155">
        <v>7</v>
      </c>
      <c r="L238" s="4">
        <f>K238*I238*G238</f>
        <v>98</v>
      </c>
      <c r="M238" s="181"/>
      <c r="N238" s="93"/>
      <c r="O238" s="98"/>
      <c r="P238" s="155"/>
      <c r="Q238" s="155"/>
      <c r="R238" s="98"/>
      <c r="S238" s="98"/>
      <c r="T238" s="98"/>
      <c r="U238" s="98"/>
      <c r="V238" s="98"/>
    </row>
    <row r="239" spans="1:230" s="88" customFormat="1" ht="52" customHeight="1" x14ac:dyDescent="0.45">
      <c r="A239" s="155"/>
      <c r="B239" s="155"/>
      <c r="C239" s="155"/>
      <c r="D239" s="155"/>
      <c r="E239" s="7" t="s">
        <v>38</v>
      </c>
      <c r="F239" s="98" t="s">
        <v>660</v>
      </c>
      <c r="G239" s="7">
        <v>6</v>
      </c>
      <c r="H239" s="155"/>
      <c r="I239" s="155"/>
      <c r="J239" s="160"/>
      <c r="K239" s="155"/>
      <c r="L239" s="4">
        <f>K238*I238*G239</f>
        <v>84</v>
      </c>
      <c r="M239" s="181"/>
      <c r="N239" s="93"/>
      <c r="O239" s="98"/>
      <c r="P239" s="155"/>
      <c r="Q239" s="155"/>
      <c r="R239" s="98"/>
      <c r="S239" s="98"/>
      <c r="T239" s="98"/>
      <c r="U239" s="98"/>
      <c r="V239" s="98"/>
    </row>
    <row r="240" spans="1:230" s="88" customFormat="1" ht="60" customHeight="1" x14ac:dyDescent="0.45">
      <c r="A240" s="155"/>
      <c r="B240" s="155"/>
      <c r="C240" s="155"/>
      <c r="D240" s="155"/>
      <c r="E240" s="7" t="s">
        <v>40</v>
      </c>
      <c r="F240" s="98" t="s">
        <v>658</v>
      </c>
      <c r="G240" s="7">
        <v>7</v>
      </c>
      <c r="H240" s="155"/>
      <c r="I240" s="155"/>
      <c r="J240" s="160"/>
      <c r="K240" s="155"/>
      <c r="L240" s="4">
        <f>K238*I238*G240</f>
        <v>98</v>
      </c>
      <c r="M240" s="181"/>
      <c r="N240" s="93"/>
      <c r="O240" s="98"/>
      <c r="P240" s="155"/>
      <c r="Q240" s="155"/>
      <c r="R240" s="98"/>
      <c r="S240" s="98"/>
      <c r="T240" s="98"/>
      <c r="U240" s="98"/>
      <c r="V240" s="98"/>
    </row>
    <row r="241" spans="1:256" s="87" customFormat="1" ht="39" customHeight="1" x14ac:dyDescent="0.45">
      <c r="A241" s="155" t="s">
        <v>668</v>
      </c>
      <c r="B241" s="155" t="s">
        <v>669</v>
      </c>
      <c r="C241" s="155"/>
      <c r="D241" s="155" t="s">
        <v>585</v>
      </c>
      <c r="E241" s="4" t="s">
        <v>30</v>
      </c>
      <c r="F241" s="4" t="s">
        <v>586</v>
      </c>
      <c r="G241" s="112">
        <v>2</v>
      </c>
      <c r="H241" s="155" t="s">
        <v>587</v>
      </c>
      <c r="I241" s="173">
        <v>2</v>
      </c>
      <c r="J241" s="160" t="s">
        <v>665</v>
      </c>
      <c r="K241" s="178">
        <v>8</v>
      </c>
      <c r="L241" s="4">
        <f>K241*I241*G241</f>
        <v>32</v>
      </c>
      <c r="M241" s="181" t="s">
        <v>331</v>
      </c>
      <c r="N241" s="93"/>
      <c r="O241" s="98"/>
      <c r="P241" s="155"/>
      <c r="Q241" s="155"/>
      <c r="R241" s="95"/>
      <c r="S241" s="98"/>
      <c r="T241" s="98"/>
      <c r="U241" s="98"/>
      <c r="V241" s="93"/>
      <c r="HK241"/>
      <c r="HL241"/>
      <c r="HM241"/>
      <c r="HN241"/>
      <c r="HO241"/>
      <c r="HP241"/>
      <c r="HQ241"/>
      <c r="HR241"/>
      <c r="HS241"/>
      <c r="HT241"/>
      <c r="HU241"/>
      <c r="HV241"/>
    </row>
    <row r="242" spans="1:256" s="87" customFormat="1" ht="39" customHeight="1" x14ac:dyDescent="0.45">
      <c r="A242" s="155"/>
      <c r="B242" s="155"/>
      <c r="C242" s="155"/>
      <c r="D242" s="155"/>
      <c r="E242" s="4" t="s">
        <v>38</v>
      </c>
      <c r="F242" s="7" t="s">
        <v>589</v>
      </c>
      <c r="G242" s="112">
        <v>5</v>
      </c>
      <c r="H242" s="155"/>
      <c r="I242" s="173"/>
      <c r="J242" s="160"/>
      <c r="K242" s="178"/>
      <c r="L242" s="4">
        <f>K241*I241*G242</f>
        <v>80</v>
      </c>
      <c r="M242" s="181"/>
      <c r="N242" s="93"/>
      <c r="O242" s="98"/>
      <c r="P242" s="155"/>
      <c r="Q242" s="155"/>
      <c r="R242" s="95"/>
      <c r="S242" s="98"/>
      <c r="T242" s="98"/>
      <c r="U242" s="98"/>
      <c r="V242" s="93"/>
      <c r="HK242"/>
      <c r="HL242"/>
      <c r="HM242"/>
      <c r="HN242"/>
      <c r="HO242"/>
      <c r="HP242"/>
      <c r="HQ242"/>
      <c r="HR242"/>
      <c r="HS242"/>
      <c r="HT242"/>
      <c r="HU242"/>
      <c r="HV242"/>
    </row>
    <row r="243" spans="1:256" s="88" customFormat="1" ht="39" customHeight="1" x14ac:dyDescent="0.45">
      <c r="A243" s="155"/>
      <c r="B243" s="155"/>
      <c r="C243" s="155"/>
      <c r="D243" s="155"/>
      <c r="E243" s="7" t="s">
        <v>40</v>
      </c>
      <c r="F243" s="4" t="s">
        <v>590</v>
      </c>
      <c r="G243" s="7">
        <v>2</v>
      </c>
      <c r="H243" s="155"/>
      <c r="I243" s="173"/>
      <c r="J243" s="160"/>
      <c r="K243" s="178"/>
      <c r="L243" s="4">
        <f>K241*I241*G243</f>
        <v>32</v>
      </c>
      <c r="M243" s="181"/>
      <c r="N243" s="93"/>
      <c r="O243" s="98"/>
      <c r="P243" s="155"/>
      <c r="Q243" s="155"/>
      <c r="R243" s="98"/>
      <c r="S243" s="98"/>
      <c r="T243" s="98"/>
      <c r="U243" s="98"/>
      <c r="V243" s="98"/>
    </row>
    <row r="244" spans="1:256" s="88" customFormat="1" ht="39" customHeight="1" x14ac:dyDescent="0.45">
      <c r="A244" s="155"/>
      <c r="B244" s="155"/>
      <c r="C244" s="155"/>
      <c r="D244" s="155" t="s">
        <v>657</v>
      </c>
      <c r="E244" s="7" t="s">
        <v>30</v>
      </c>
      <c r="F244" s="7" t="s">
        <v>658</v>
      </c>
      <c r="G244" s="7">
        <v>7</v>
      </c>
      <c r="H244" s="155" t="s">
        <v>659</v>
      </c>
      <c r="I244" s="155">
        <v>2</v>
      </c>
      <c r="J244" s="160"/>
      <c r="K244" s="155">
        <v>7</v>
      </c>
      <c r="L244" s="4">
        <f>K244*I244*G244</f>
        <v>98</v>
      </c>
      <c r="M244" s="181"/>
      <c r="N244" s="93"/>
      <c r="O244" s="98"/>
      <c r="P244" s="155"/>
      <c r="Q244" s="155"/>
      <c r="R244" s="98"/>
      <c r="S244" s="98"/>
      <c r="T244" s="98"/>
      <c r="U244" s="98"/>
      <c r="V244" s="98"/>
    </row>
    <row r="245" spans="1:256" s="88" customFormat="1" ht="39" customHeight="1" x14ac:dyDescent="0.45">
      <c r="A245" s="155"/>
      <c r="B245" s="155"/>
      <c r="C245" s="155"/>
      <c r="D245" s="155"/>
      <c r="E245" s="7" t="s">
        <v>38</v>
      </c>
      <c r="F245" s="98" t="s">
        <v>660</v>
      </c>
      <c r="G245" s="7">
        <v>6</v>
      </c>
      <c r="H245" s="155"/>
      <c r="I245" s="155"/>
      <c r="J245" s="160"/>
      <c r="K245" s="155"/>
      <c r="L245" s="4">
        <f>K244*I244*G245</f>
        <v>84</v>
      </c>
      <c r="M245" s="181"/>
      <c r="N245" s="93"/>
      <c r="O245" s="98"/>
      <c r="P245" s="155"/>
      <c r="Q245" s="155"/>
      <c r="R245" s="98"/>
      <c r="S245" s="98"/>
      <c r="T245" s="98"/>
      <c r="U245" s="98"/>
      <c r="V245" s="98"/>
    </row>
    <row r="246" spans="1:256" s="88" customFormat="1" ht="39" customHeight="1" x14ac:dyDescent="0.45">
      <c r="A246" s="155"/>
      <c r="B246" s="155"/>
      <c r="C246" s="155"/>
      <c r="D246" s="155"/>
      <c r="E246" s="7" t="s">
        <v>40</v>
      </c>
      <c r="F246" s="98" t="s">
        <v>658</v>
      </c>
      <c r="G246" s="7">
        <v>7</v>
      </c>
      <c r="H246" s="155"/>
      <c r="I246" s="155"/>
      <c r="J246" s="160"/>
      <c r="K246" s="155"/>
      <c r="L246" s="4">
        <f>K244*I244*G246</f>
        <v>98</v>
      </c>
      <c r="M246" s="181"/>
      <c r="N246" s="93"/>
      <c r="O246" s="98"/>
      <c r="P246" s="155"/>
      <c r="Q246" s="155"/>
      <c r="R246" s="98"/>
      <c r="S246" s="98"/>
      <c r="T246" s="98"/>
      <c r="U246" s="98"/>
      <c r="V246" s="98"/>
    </row>
    <row r="247" spans="1:256" s="87" customFormat="1" ht="33" customHeight="1" x14ac:dyDescent="0.45">
      <c r="A247" s="155" t="s">
        <v>670</v>
      </c>
      <c r="B247" s="155" t="s">
        <v>671</v>
      </c>
      <c r="C247" s="155"/>
      <c r="D247" s="155" t="s">
        <v>585</v>
      </c>
      <c r="E247" s="4" t="s">
        <v>30</v>
      </c>
      <c r="F247" s="4" t="s">
        <v>586</v>
      </c>
      <c r="G247" s="112">
        <v>2</v>
      </c>
      <c r="H247" s="155" t="s">
        <v>587</v>
      </c>
      <c r="I247" s="173">
        <v>2</v>
      </c>
      <c r="J247" s="160" t="s">
        <v>672</v>
      </c>
      <c r="K247" s="178">
        <v>8</v>
      </c>
      <c r="L247" s="4">
        <f>K247*I247*G247</f>
        <v>32</v>
      </c>
      <c r="M247" s="181" t="s">
        <v>331</v>
      </c>
      <c r="N247" s="93"/>
      <c r="O247" s="98"/>
      <c r="P247" s="155"/>
      <c r="Q247" s="155"/>
      <c r="R247" s="95"/>
      <c r="S247" s="98"/>
      <c r="T247" s="98"/>
      <c r="U247" s="98"/>
      <c r="V247" s="93"/>
      <c r="HK247"/>
      <c r="HL247"/>
      <c r="HM247"/>
      <c r="HN247"/>
      <c r="HO247"/>
      <c r="HP247"/>
      <c r="HQ247"/>
      <c r="HR247"/>
      <c r="HS247"/>
      <c r="HT247"/>
      <c r="HU247"/>
      <c r="HV247"/>
    </row>
    <row r="248" spans="1:256" s="87" customFormat="1" ht="33" customHeight="1" x14ac:dyDescent="0.45">
      <c r="A248" s="155"/>
      <c r="B248" s="155"/>
      <c r="C248" s="155"/>
      <c r="D248" s="155"/>
      <c r="E248" s="4" t="s">
        <v>38</v>
      </c>
      <c r="F248" s="7" t="s">
        <v>589</v>
      </c>
      <c r="G248" s="112">
        <v>5</v>
      </c>
      <c r="H248" s="155"/>
      <c r="I248" s="173"/>
      <c r="J248" s="160"/>
      <c r="K248" s="178"/>
      <c r="L248" s="4">
        <f>K247*I247*G248</f>
        <v>80</v>
      </c>
      <c r="M248" s="181"/>
      <c r="N248" s="93"/>
      <c r="O248" s="98"/>
      <c r="P248" s="155"/>
      <c r="Q248" s="155"/>
      <c r="R248" s="95"/>
      <c r="S248" s="98"/>
      <c r="T248" s="98"/>
      <c r="U248" s="98"/>
      <c r="V248" s="93"/>
      <c r="HK248"/>
      <c r="HL248"/>
      <c r="HM248"/>
      <c r="HN248"/>
      <c r="HO248"/>
      <c r="HP248"/>
      <c r="HQ248"/>
      <c r="HR248"/>
      <c r="HS248"/>
      <c r="HT248"/>
      <c r="HU248"/>
      <c r="HV248"/>
    </row>
    <row r="249" spans="1:256" s="88" customFormat="1" ht="33" customHeight="1" x14ac:dyDescent="0.45">
      <c r="A249" s="155"/>
      <c r="B249" s="155"/>
      <c r="C249" s="155"/>
      <c r="D249" s="155"/>
      <c r="E249" s="7" t="s">
        <v>40</v>
      </c>
      <c r="F249" s="4" t="s">
        <v>590</v>
      </c>
      <c r="G249" s="7">
        <v>2</v>
      </c>
      <c r="H249" s="155"/>
      <c r="I249" s="173"/>
      <c r="J249" s="160"/>
      <c r="K249" s="178"/>
      <c r="L249" s="4">
        <f>K247*I247*G249</f>
        <v>32</v>
      </c>
      <c r="M249" s="181"/>
      <c r="N249" s="93"/>
      <c r="O249" s="98"/>
      <c r="P249" s="155"/>
      <c r="Q249" s="155"/>
      <c r="R249" s="98"/>
      <c r="S249" s="98"/>
      <c r="T249" s="98"/>
      <c r="U249" s="98"/>
      <c r="V249" s="98"/>
    </row>
    <row r="250" spans="1:256" s="88" customFormat="1" ht="33" customHeight="1" x14ac:dyDescent="0.45">
      <c r="A250" s="155"/>
      <c r="B250" s="155"/>
      <c r="C250" s="155"/>
      <c r="D250" s="155" t="s">
        <v>657</v>
      </c>
      <c r="E250" s="7" t="s">
        <v>30</v>
      </c>
      <c r="F250" s="7" t="s">
        <v>658</v>
      </c>
      <c r="G250" s="7">
        <v>4</v>
      </c>
      <c r="H250" s="155" t="s">
        <v>659</v>
      </c>
      <c r="I250" s="155">
        <v>2</v>
      </c>
      <c r="J250" s="160"/>
      <c r="K250" s="155">
        <v>7</v>
      </c>
      <c r="L250" s="4">
        <f>K250*I250*G250</f>
        <v>56</v>
      </c>
      <c r="M250" s="181"/>
      <c r="N250" s="93"/>
      <c r="O250" s="98"/>
      <c r="P250" s="155"/>
      <c r="Q250" s="155"/>
      <c r="R250" s="98"/>
      <c r="S250" s="98"/>
      <c r="T250" s="98"/>
      <c r="U250" s="98"/>
      <c r="V250" s="98"/>
    </row>
    <row r="251" spans="1:256" s="88" customFormat="1" ht="33" customHeight="1" x14ac:dyDescent="0.45">
      <c r="A251" s="155"/>
      <c r="B251" s="155"/>
      <c r="C251" s="155"/>
      <c r="D251" s="155"/>
      <c r="E251" s="7" t="s">
        <v>38</v>
      </c>
      <c r="F251" s="98" t="s">
        <v>660</v>
      </c>
      <c r="G251" s="7">
        <v>6</v>
      </c>
      <c r="H251" s="155"/>
      <c r="I251" s="155"/>
      <c r="J251" s="160"/>
      <c r="K251" s="155"/>
      <c r="L251" s="4">
        <f>K250*I250*G251</f>
        <v>84</v>
      </c>
      <c r="M251" s="181"/>
      <c r="N251" s="93"/>
      <c r="O251" s="98"/>
      <c r="P251" s="155"/>
      <c r="Q251" s="155"/>
      <c r="R251" s="98"/>
      <c r="S251" s="98"/>
      <c r="T251" s="98"/>
      <c r="U251" s="98"/>
      <c r="V251" s="98"/>
    </row>
    <row r="252" spans="1:256" s="88" customFormat="1" ht="33" customHeight="1" x14ac:dyDescent="0.45">
      <c r="A252" s="155"/>
      <c r="B252" s="155"/>
      <c r="C252" s="155"/>
      <c r="D252" s="155"/>
      <c r="E252" s="7" t="s">
        <v>40</v>
      </c>
      <c r="F252" s="98" t="s">
        <v>658</v>
      </c>
      <c r="G252" s="7">
        <v>4</v>
      </c>
      <c r="H252" s="155"/>
      <c r="I252" s="155"/>
      <c r="J252" s="160"/>
      <c r="K252" s="155"/>
      <c r="L252" s="4">
        <f>K250*I250*G252</f>
        <v>56</v>
      </c>
      <c r="M252" s="181"/>
      <c r="N252" s="93"/>
      <c r="O252" s="98"/>
      <c r="P252" s="155"/>
      <c r="Q252" s="155"/>
      <c r="R252" s="98"/>
      <c r="S252" s="98"/>
      <c r="T252" s="98"/>
      <c r="U252" s="98"/>
      <c r="V252" s="98"/>
    </row>
    <row r="253" spans="1:256" s="88" customFormat="1" ht="36" customHeight="1" x14ac:dyDescent="0.45">
      <c r="A253" s="155" t="s">
        <v>673</v>
      </c>
      <c r="B253" s="189" t="s">
        <v>674</v>
      </c>
      <c r="C253" s="189"/>
      <c r="D253" s="155" t="s">
        <v>585</v>
      </c>
      <c r="E253" s="4" t="s">
        <v>30</v>
      </c>
      <c r="F253" s="4" t="s">
        <v>586</v>
      </c>
      <c r="G253" s="112">
        <v>2</v>
      </c>
      <c r="H253" s="155" t="s">
        <v>587</v>
      </c>
      <c r="I253" s="173">
        <v>2</v>
      </c>
      <c r="J253" s="155" t="s">
        <v>675</v>
      </c>
      <c r="K253" s="178">
        <v>8</v>
      </c>
      <c r="L253" s="4">
        <f>G253*I253*K253</f>
        <v>32</v>
      </c>
      <c r="M253" s="181" t="s">
        <v>331</v>
      </c>
      <c r="N253" s="155"/>
      <c r="O253" s="98"/>
      <c r="P253" s="154"/>
      <c r="Q253" s="154"/>
      <c r="R253" s="112"/>
      <c r="S253" s="95"/>
      <c r="T253" s="7"/>
      <c r="U253" s="93"/>
      <c r="V253" s="4"/>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87"/>
      <c r="EM253" s="87"/>
      <c r="EN253" s="87"/>
      <c r="EO253" s="87"/>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c r="FL253" s="87"/>
      <c r="FM253" s="87"/>
      <c r="FN253" s="87"/>
      <c r="FO253" s="87"/>
      <c r="FP253" s="87"/>
      <c r="FQ253" s="87"/>
      <c r="FR253" s="87"/>
      <c r="FS253" s="87"/>
      <c r="FT253" s="87"/>
      <c r="FU253" s="87"/>
      <c r="FV253" s="87"/>
      <c r="FW253" s="87"/>
      <c r="FX253" s="87"/>
      <c r="FY253" s="87"/>
      <c r="FZ253" s="87"/>
      <c r="GA253" s="87"/>
      <c r="GB253" s="87"/>
      <c r="GC253" s="87"/>
      <c r="GD253" s="87"/>
      <c r="GE253" s="87"/>
      <c r="GF253" s="87"/>
      <c r="GG253" s="87"/>
      <c r="GH253" s="87"/>
      <c r="GI253" s="87"/>
      <c r="GJ253" s="87"/>
      <c r="GK253" s="87"/>
      <c r="GL253" s="87"/>
      <c r="GM253" s="87"/>
      <c r="GN253" s="87"/>
      <c r="GO253" s="87"/>
      <c r="GP253" s="87"/>
      <c r="GQ253" s="87"/>
      <c r="GR253" s="87"/>
      <c r="GS253" s="87"/>
      <c r="GT253" s="87"/>
      <c r="GU253" s="87"/>
      <c r="GV253" s="87"/>
      <c r="GW253" s="87"/>
      <c r="GX253" s="87"/>
      <c r="GY253" s="87"/>
      <c r="GZ253" s="87"/>
      <c r="HA253" s="87"/>
      <c r="HB253" s="87"/>
      <c r="HC253" s="87"/>
      <c r="HD253" s="87"/>
      <c r="HE253" s="87"/>
      <c r="HF253" s="87"/>
      <c r="HG253" s="87"/>
      <c r="HH253" s="87"/>
      <c r="HI253" s="87"/>
      <c r="HJ253" s="87"/>
      <c r="HK253" s="87"/>
      <c r="HL253" s="87"/>
      <c r="HM253" s="87"/>
      <c r="HN253" s="87"/>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s="88" customFormat="1" ht="36" customHeight="1" x14ac:dyDescent="0.45">
      <c r="A254" s="155"/>
      <c r="B254" s="189"/>
      <c r="C254" s="189"/>
      <c r="D254" s="155"/>
      <c r="E254" s="4" t="s">
        <v>38</v>
      </c>
      <c r="F254" s="7" t="s">
        <v>589</v>
      </c>
      <c r="G254" s="112">
        <v>5</v>
      </c>
      <c r="H254" s="155"/>
      <c r="I254" s="173"/>
      <c r="J254" s="155"/>
      <c r="K254" s="178"/>
      <c r="L254" s="4">
        <f>G254*I253*K253</f>
        <v>80</v>
      </c>
      <c r="M254" s="181"/>
      <c r="N254" s="155"/>
      <c r="O254" s="98"/>
      <c r="P254" s="154"/>
      <c r="Q254" s="154"/>
      <c r="R254" s="112"/>
      <c r="S254" s="95"/>
      <c r="T254" s="7"/>
      <c r="U254" s="93"/>
      <c r="V254" s="4"/>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87"/>
      <c r="EM254" s="87"/>
      <c r="EN254" s="87"/>
      <c r="EO254" s="87"/>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c r="FL254" s="87"/>
      <c r="FM254" s="87"/>
      <c r="FN254" s="87"/>
      <c r="FO254" s="87"/>
      <c r="FP254" s="87"/>
      <c r="FQ254" s="87"/>
      <c r="FR254" s="87"/>
      <c r="FS254" s="87"/>
      <c r="FT254" s="87"/>
      <c r="FU254" s="87"/>
      <c r="FV254" s="87"/>
      <c r="FW254" s="87"/>
      <c r="FX254" s="87"/>
      <c r="FY254" s="87"/>
      <c r="FZ254" s="87"/>
      <c r="GA254" s="87"/>
      <c r="GB254" s="87"/>
      <c r="GC254" s="87"/>
      <c r="GD254" s="87"/>
      <c r="GE254" s="87"/>
      <c r="GF254" s="87"/>
      <c r="GG254" s="87"/>
      <c r="GH254" s="87"/>
      <c r="GI254" s="87"/>
      <c r="GJ254" s="87"/>
      <c r="GK254" s="87"/>
      <c r="GL254" s="87"/>
      <c r="GM254" s="87"/>
      <c r="GN254" s="87"/>
      <c r="GO254" s="87"/>
      <c r="GP254" s="87"/>
      <c r="GQ254" s="87"/>
      <c r="GR254" s="87"/>
      <c r="GS254" s="87"/>
      <c r="GT254" s="87"/>
      <c r="GU254" s="87"/>
      <c r="GV254" s="87"/>
      <c r="GW254" s="87"/>
      <c r="GX254" s="87"/>
      <c r="GY254" s="87"/>
      <c r="GZ254" s="87"/>
      <c r="HA254" s="87"/>
      <c r="HB254" s="87"/>
      <c r="HC254" s="87"/>
      <c r="HD254" s="87"/>
      <c r="HE254" s="87"/>
      <c r="HF254" s="87"/>
      <c r="HG254" s="87"/>
      <c r="HH254" s="87"/>
      <c r="HI254" s="87"/>
      <c r="HJ254" s="87"/>
      <c r="HK254" s="87"/>
      <c r="HL254" s="87"/>
      <c r="HM254" s="87"/>
      <c r="HN254" s="87"/>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s="88" customFormat="1" ht="36" customHeight="1" x14ac:dyDescent="0.45">
      <c r="A255" s="155"/>
      <c r="B255" s="189"/>
      <c r="C255" s="189"/>
      <c r="D255" s="155"/>
      <c r="E255" s="7" t="s">
        <v>40</v>
      </c>
      <c r="F255" s="4" t="s">
        <v>590</v>
      </c>
      <c r="G255" s="7">
        <v>2</v>
      </c>
      <c r="H255" s="155"/>
      <c r="I255" s="173"/>
      <c r="J255" s="155"/>
      <c r="K255" s="178"/>
      <c r="L255" s="4">
        <f>G255*I253*K253</f>
        <v>32</v>
      </c>
      <c r="M255" s="181"/>
      <c r="N255" s="155"/>
      <c r="O255" s="98"/>
      <c r="P255" s="154"/>
      <c r="Q255" s="154"/>
      <c r="R255" s="7"/>
      <c r="S255" s="95"/>
      <c r="T255" s="7"/>
      <c r="U255" s="93"/>
      <c r="V255" s="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87"/>
      <c r="EM255" s="87"/>
      <c r="EN255" s="87"/>
      <c r="EO255" s="87"/>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c r="FL255" s="87"/>
      <c r="FM255" s="87"/>
      <c r="FN255" s="87"/>
      <c r="FO255" s="87"/>
      <c r="FP255" s="87"/>
      <c r="FQ255" s="87"/>
      <c r="FR255" s="87"/>
      <c r="FS255" s="87"/>
      <c r="FT255" s="87"/>
      <c r="FU255" s="87"/>
      <c r="FV255" s="87"/>
      <c r="FW255" s="87"/>
      <c r="FX255" s="87"/>
      <c r="FY255" s="87"/>
      <c r="FZ255" s="87"/>
      <c r="GA255" s="87"/>
      <c r="GB255" s="87"/>
      <c r="GC255" s="87"/>
      <c r="GD255" s="87"/>
      <c r="GE255" s="87"/>
      <c r="GF255" s="87"/>
      <c r="GG255" s="87"/>
      <c r="GH255" s="87"/>
      <c r="GI255" s="87"/>
      <c r="GJ255" s="87"/>
      <c r="GK255" s="87"/>
      <c r="GL255" s="87"/>
      <c r="GM255" s="87"/>
      <c r="GN255" s="87"/>
      <c r="GO255" s="87"/>
      <c r="GP255" s="87"/>
      <c r="GQ255" s="87"/>
      <c r="GR255" s="87"/>
      <c r="GS255" s="87"/>
      <c r="GT255" s="87"/>
      <c r="GU255" s="87"/>
      <c r="GV255" s="87"/>
      <c r="GW255" s="87"/>
      <c r="GX255" s="87"/>
      <c r="GY255" s="87"/>
      <c r="GZ255" s="87"/>
      <c r="HA255" s="87"/>
      <c r="HB255" s="87"/>
      <c r="HC255" s="87"/>
      <c r="HD255" s="87"/>
      <c r="HE255" s="87"/>
      <c r="HF255" s="87"/>
      <c r="HG255" s="87"/>
      <c r="HH255" s="87"/>
      <c r="HI255" s="87"/>
      <c r="HJ255" s="87"/>
      <c r="HK255" s="87"/>
      <c r="HL255" s="87"/>
      <c r="HM255" s="87"/>
      <c r="HN255" s="87"/>
      <c r="HO255" s="87"/>
      <c r="HP255" s="87"/>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s="88" customFormat="1" ht="36" customHeight="1" x14ac:dyDescent="0.45">
      <c r="A256" s="155"/>
      <c r="B256" s="189"/>
      <c r="C256" s="189"/>
      <c r="D256" s="155" t="s">
        <v>591</v>
      </c>
      <c r="E256" s="4" t="s">
        <v>30</v>
      </c>
      <c r="F256" s="4" t="s">
        <v>586</v>
      </c>
      <c r="G256" s="112">
        <v>2</v>
      </c>
      <c r="H256" s="155" t="s">
        <v>592</v>
      </c>
      <c r="I256" s="155">
        <v>2</v>
      </c>
      <c r="J256" s="155" t="s">
        <v>593</v>
      </c>
      <c r="K256" s="179">
        <v>8</v>
      </c>
      <c r="L256" s="4">
        <f>G256*I256*K256</f>
        <v>32</v>
      </c>
      <c r="M256" s="181"/>
      <c r="N256" s="155"/>
      <c r="O256" s="98"/>
      <c r="P256" s="154"/>
      <c r="Q256" s="154"/>
      <c r="R256" s="112"/>
      <c r="S256" s="95"/>
      <c r="T256" s="7"/>
      <c r="U256" s="93"/>
      <c r="V256" s="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87"/>
      <c r="EM256" s="87"/>
      <c r="EN256" s="87"/>
      <c r="EO256" s="87"/>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c r="FL256" s="87"/>
      <c r="FM256" s="87"/>
      <c r="FN256" s="87"/>
      <c r="FO256" s="87"/>
      <c r="FP256" s="87"/>
      <c r="FQ256" s="87"/>
      <c r="FR256" s="87"/>
      <c r="FS256" s="87"/>
      <c r="FT256" s="87"/>
      <c r="FU256" s="87"/>
      <c r="FV256" s="87"/>
      <c r="FW256" s="87"/>
      <c r="FX256" s="87"/>
      <c r="FY256" s="87"/>
      <c r="FZ256" s="87"/>
      <c r="GA256" s="87"/>
      <c r="GB256" s="87"/>
      <c r="GC256" s="87"/>
      <c r="GD256" s="87"/>
      <c r="GE256" s="87"/>
      <c r="GF256" s="87"/>
      <c r="GG256" s="87"/>
      <c r="GH256" s="87"/>
      <c r="GI256" s="87"/>
      <c r="GJ256" s="87"/>
      <c r="GK256" s="87"/>
      <c r="GL256" s="87"/>
      <c r="GM256" s="87"/>
      <c r="GN256" s="87"/>
      <c r="GO256" s="87"/>
      <c r="GP256" s="87"/>
      <c r="GQ256" s="87"/>
      <c r="GR256" s="87"/>
      <c r="GS256" s="87"/>
      <c r="GT256" s="87"/>
      <c r="GU256" s="87"/>
      <c r="GV256" s="87"/>
      <c r="GW256" s="87"/>
      <c r="GX256" s="87"/>
      <c r="GY256" s="87"/>
      <c r="GZ256" s="87"/>
      <c r="HA256" s="87"/>
      <c r="HB256" s="87"/>
      <c r="HC256" s="87"/>
      <c r="HD256" s="87"/>
      <c r="HE256" s="87"/>
      <c r="HF256" s="87"/>
      <c r="HG256" s="87"/>
      <c r="HH256" s="87"/>
      <c r="HI256" s="87"/>
      <c r="HJ256" s="87"/>
      <c r="HK256" s="87"/>
      <c r="HL256" s="87"/>
      <c r="HM256" s="87"/>
      <c r="HN256" s="87"/>
      <c r="HO256" s="87"/>
      <c r="HP256" s="87"/>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s="88" customFormat="1" ht="36" customHeight="1" x14ac:dyDescent="0.45">
      <c r="A257" s="155"/>
      <c r="B257" s="189"/>
      <c r="C257" s="189"/>
      <c r="D257" s="155"/>
      <c r="E257" s="4" t="s">
        <v>38</v>
      </c>
      <c r="F257" s="7" t="s">
        <v>589</v>
      </c>
      <c r="G257" s="112">
        <v>5</v>
      </c>
      <c r="H257" s="155"/>
      <c r="I257" s="155"/>
      <c r="J257" s="155"/>
      <c r="K257" s="179"/>
      <c r="L257" s="4">
        <f>G257*I256*K256</f>
        <v>80</v>
      </c>
      <c r="M257" s="181"/>
      <c r="N257" s="155"/>
      <c r="O257" s="98"/>
      <c r="P257" s="154"/>
      <c r="Q257" s="154"/>
      <c r="R257" s="112"/>
      <c r="S257" s="95"/>
      <c r="T257" s="7"/>
      <c r="U257" s="93"/>
      <c r="V257" s="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87"/>
      <c r="EM257" s="87"/>
      <c r="EN257" s="87"/>
      <c r="EO257" s="87"/>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c r="FL257" s="87"/>
      <c r="FM257" s="87"/>
      <c r="FN257" s="87"/>
      <c r="FO257" s="87"/>
      <c r="FP257" s="87"/>
      <c r="FQ257" s="87"/>
      <c r="FR257" s="87"/>
      <c r="FS257" s="87"/>
      <c r="FT257" s="87"/>
      <c r="FU257" s="87"/>
      <c r="FV257" s="87"/>
      <c r="FW257" s="87"/>
      <c r="FX257" s="87"/>
      <c r="FY257" s="87"/>
      <c r="FZ257" s="87"/>
      <c r="GA257" s="87"/>
      <c r="GB257" s="87"/>
      <c r="GC257" s="87"/>
      <c r="GD257" s="87"/>
      <c r="GE257" s="87"/>
      <c r="GF257" s="87"/>
      <c r="GG257" s="87"/>
      <c r="GH257" s="87"/>
      <c r="GI257" s="87"/>
      <c r="GJ257" s="87"/>
      <c r="GK257" s="87"/>
      <c r="GL257" s="87"/>
      <c r="GM257" s="87"/>
      <c r="GN257" s="87"/>
      <c r="GO257" s="87"/>
      <c r="GP257" s="87"/>
      <c r="GQ257" s="87"/>
      <c r="GR257" s="87"/>
      <c r="GS257" s="87"/>
      <c r="GT257" s="87"/>
      <c r="GU257" s="87"/>
      <c r="GV257" s="87"/>
      <c r="GW257" s="87"/>
      <c r="GX257" s="87"/>
      <c r="GY257" s="87"/>
      <c r="GZ257" s="87"/>
      <c r="HA257" s="87"/>
      <c r="HB257" s="87"/>
      <c r="HC257" s="87"/>
      <c r="HD257" s="87"/>
      <c r="HE257" s="87"/>
      <c r="HF257" s="87"/>
      <c r="HG257" s="87"/>
      <c r="HH257" s="87"/>
      <c r="HI257" s="87"/>
      <c r="HJ257" s="87"/>
      <c r="HK257" s="87"/>
      <c r="HL257" s="87"/>
      <c r="HM257" s="87"/>
      <c r="HN257" s="87"/>
      <c r="HO257" s="87"/>
      <c r="HP257" s="8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s="88" customFormat="1" ht="34" customHeight="1" x14ac:dyDescent="0.45">
      <c r="A258" s="155"/>
      <c r="B258" s="189"/>
      <c r="C258" s="189"/>
      <c r="D258" s="155"/>
      <c r="E258" s="7" t="s">
        <v>40</v>
      </c>
      <c r="F258" s="4" t="s">
        <v>590</v>
      </c>
      <c r="G258" s="7">
        <v>2</v>
      </c>
      <c r="H258" s="155"/>
      <c r="I258" s="155"/>
      <c r="J258" s="155"/>
      <c r="K258" s="179"/>
      <c r="L258" s="4">
        <f>G258*I256*K256</f>
        <v>32</v>
      </c>
      <c r="M258" s="181"/>
      <c r="N258" s="155"/>
      <c r="O258" s="98"/>
      <c r="P258" s="154"/>
      <c r="Q258" s="154"/>
      <c r="R258" s="7"/>
      <c r="S258" s="95"/>
      <c r="T258" s="7"/>
      <c r="U258" s="93"/>
      <c r="V258" s="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87"/>
      <c r="EM258" s="87"/>
      <c r="EN258" s="87"/>
      <c r="EO258" s="87"/>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c r="FL258" s="87"/>
      <c r="FM258" s="87"/>
      <c r="FN258" s="87"/>
      <c r="FO258" s="87"/>
      <c r="FP258" s="87"/>
      <c r="FQ258" s="87"/>
      <c r="FR258" s="87"/>
      <c r="FS258" s="87"/>
      <c r="FT258" s="87"/>
      <c r="FU258" s="87"/>
      <c r="FV258" s="87"/>
      <c r="FW258" s="87"/>
      <c r="FX258" s="87"/>
      <c r="FY258" s="87"/>
      <c r="FZ258" s="87"/>
      <c r="GA258" s="87"/>
      <c r="GB258" s="87"/>
      <c r="GC258" s="87"/>
      <c r="GD258" s="87"/>
      <c r="GE258" s="87"/>
      <c r="GF258" s="87"/>
      <c r="GG258" s="87"/>
      <c r="GH258" s="87"/>
      <c r="GI258" s="87"/>
      <c r="GJ258" s="87"/>
      <c r="GK258" s="87"/>
      <c r="GL258" s="87"/>
      <c r="GM258" s="87"/>
      <c r="GN258" s="87"/>
      <c r="GO258" s="87"/>
      <c r="GP258" s="87"/>
      <c r="GQ258" s="87"/>
      <c r="GR258" s="87"/>
      <c r="GS258" s="87"/>
      <c r="GT258" s="87"/>
      <c r="GU258" s="87"/>
      <c r="GV258" s="87"/>
      <c r="GW258" s="87"/>
      <c r="GX258" s="87"/>
      <c r="GY258" s="87"/>
      <c r="GZ258" s="87"/>
      <c r="HA258" s="87"/>
      <c r="HB258" s="87"/>
      <c r="HC258" s="87"/>
      <c r="HD258" s="87"/>
      <c r="HE258" s="87"/>
      <c r="HF258" s="87"/>
      <c r="HG258" s="87"/>
      <c r="HH258" s="87"/>
      <c r="HI258" s="87"/>
      <c r="HJ258" s="87"/>
      <c r="HK258" s="87"/>
      <c r="HL258" s="87"/>
      <c r="HM258" s="87"/>
      <c r="HN258" s="87"/>
      <c r="HO258" s="87"/>
      <c r="HP258" s="87"/>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ht="41.05" customHeight="1" x14ac:dyDescent="0.45">
      <c r="A259" s="155" t="s">
        <v>676</v>
      </c>
      <c r="B259" s="155" t="s">
        <v>677</v>
      </c>
      <c r="C259" s="155"/>
      <c r="D259" s="155" t="s">
        <v>585</v>
      </c>
      <c r="E259" s="4" t="s">
        <v>30</v>
      </c>
      <c r="F259" s="4" t="s">
        <v>586</v>
      </c>
      <c r="G259" s="112">
        <v>2</v>
      </c>
      <c r="H259" s="155" t="s">
        <v>587</v>
      </c>
      <c r="I259" s="173">
        <v>2</v>
      </c>
      <c r="J259" s="175" t="s">
        <v>678</v>
      </c>
      <c r="K259" s="173">
        <v>1</v>
      </c>
      <c r="L259" s="4">
        <f>K259*I259*G259</f>
        <v>4</v>
      </c>
      <c r="M259" s="165" t="s">
        <v>331</v>
      </c>
      <c r="N259" s="93"/>
      <c r="O259" s="93"/>
      <c r="P259" s="155"/>
      <c r="Q259" s="155"/>
      <c r="R259" s="4"/>
      <c r="S259" s="4"/>
      <c r="T259" s="4"/>
      <c r="U259" s="4"/>
      <c r="V259" s="4"/>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row>
    <row r="260" spans="1:256" ht="41.05" customHeight="1" x14ac:dyDescent="0.45">
      <c r="A260" s="155"/>
      <c r="B260" s="155"/>
      <c r="C260" s="155"/>
      <c r="D260" s="155"/>
      <c r="E260" s="4" t="s">
        <v>38</v>
      </c>
      <c r="F260" s="7" t="s">
        <v>589</v>
      </c>
      <c r="G260" s="112">
        <v>5</v>
      </c>
      <c r="H260" s="155"/>
      <c r="I260" s="173"/>
      <c r="J260" s="176"/>
      <c r="K260" s="173"/>
      <c r="L260" s="4">
        <f>K259*I259*G260</f>
        <v>10</v>
      </c>
      <c r="M260" s="166"/>
      <c r="N260" s="93"/>
      <c r="O260" s="93"/>
      <c r="P260" s="155"/>
      <c r="Q260" s="155"/>
      <c r="R260" s="4"/>
      <c r="S260" s="4"/>
      <c r="T260" s="4"/>
      <c r="U260" s="4"/>
      <c r="V260" s="4"/>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row>
    <row r="261" spans="1:256" ht="19" customHeight="1" x14ac:dyDescent="0.45">
      <c r="A261" s="155"/>
      <c r="B261" s="155"/>
      <c r="C261" s="155"/>
      <c r="D261" s="155"/>
      <c r="E261" s="7" t="s">
        <v>40</v>
      </c>
      <c r="F261" s="4" t="s">
        <v>590</v>
      </c>
      <c r="G261" s="7">
        <v>2</v>
      </c>
      <c r="H261" s="155"/>
      <c r="I261" s="173"/>
      <c r="J261" s="176"/>
      <c r="K261" s="173"/>
      <c r="L261" s="4">
        <f>K259*I259*G261</f>
        <v>4</v>
      </c>
      <c r="M261" s="166"/>
      <c r="N261" s="93"/>
      <c r="O261" s="93"/>
      <c r="P261" s="155"/>
      <c r="Q261" s="155"/>
      <c r="R261" s="4"/>
      <c r="S261" s="4"/>
      <c r="T261" s="4"/>
      <c r="U261" s="4"/>
      <c r="V261" s="4"/>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row>
    <row r="262" spans="1:256" ht="41.05" customHeight="1" x14ac:dyDescent="0.45">
      <c r="A262" s="155"/>
      <c r="B262" s="155"/>
      <c r="C262" s="155"/>
      <c r="D262" s="155" t="s">
        <v>657</v>
      </c>
      <c r="E262" s="7" t="s">
        <v>30</v>
      </c>
      <c r="F262" s="7" t="s">
        <v>658</v>
      </c>
      <c r="G262" s="7">
        <v>7</v>
      </c>
      <c r="H262" s="155" t="s">
        <v>659</v>
      </c>
      <c r="I262" s="155">
        <v>2</v>
      </c>
      <c r="J262" s="176"/>
      <c r="K262" s="173">
        <v>7</v>
      </c>
      <c r="L262" s="4">
        <f>K262*I262*G262</f>
        <v>98</v>
      </c>
      <c r="M262" s="166"/>
      <c r="N262" s="93"/>
      <c r="O262" s="93"/>
      <c r="P262" s="155"/>
      <c r="Q262" s="155"/>
      <c r="R262" s="4"/>
      <c r="S262" s="4"/>
      <c r="T262" s="4"/>
      <c r="U262" s="4"/>
      <c r="V262" s="4"/>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row>
    <row r="263" spans="1:256" ht="41.05" customHeight="1" x14ac:dyDescent="0.45">
      <c r="A263" s="155"/>
      <c r="B263" s="155"/>
      <c r="C263" s="155"/>
      <c r="D263" s="155"/>
      <c r="E263" s="7" t="s">
        <v>38</v>
      </c>
      <c r="F263" s="7" t="s">
        <v>660</v>
      </c>
      <c r="G263" s="7">
        <v>6</v>
      </c>
      <c r="H263" s="155"/>
      <c r="I263" s="155"/>
      <c r="J263" s="176"/>
      <c r="K263" s="173"/>
      <c r="L263" s="4">
        <f>K262*I262*G263</f>
        <v>84</v>
      </c>
      <c r="M263" s="166"/>
      <c r="N263" s="93"/>
      <c r="O263" s="93"/>
      <c r="P263" s="155"/>
      <c r="Q263" s="155"/>
      <c r="R263" s="4"/>
      <c r="S263" s="4"/>
      <c r="T263" s="4"/>
      <c r="U263" s="4"/>
      <c r="V263" s="4"/>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row>
    <row r="264" spans="1:256" ht="41.05" customHeight="1" x14ac:dyDescent="0.45">
      <c r="A264" s="155"/>
      <c r="B264" s="155"/>
      <c r="C264" s="155"/>
      <c r="D264" s="155"/>
      <c r="E264" s="7" t="s">
        <v>40</v>
      </c>
      <c r="F264" s="7" t="s">
        <v>658</v>
      </c>
      <c r="G264" s="7">
        <v>7</v>
      </c>
      <c r="H264" s="155"/>
      <c r="I264" s="155"/>
      <c r="J264" s="177"/>
      <c r="K264" s="173"/>
      <c r="L264" s="4">
        <f>K262*I262*G264</f>
        <v>98</v>
      </c>
      <c r="M264" s="167"/>
      <c r="N264" s="93"/>
      <c r="O264" s="93"/>
      <c r="P264" s="155"/>
      <c r="Q264" s="155"/>
      <c r="R264" s="4"/>
      <c r="S264" s="4"/>
      <c r="T264" s="4"/>
      <c r="U264" s="4"/>
      <c r="V264" s="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row>
    <row r="265" spans="1:256" ht="41.05" customHeight="1" x14ac:dyDescent="0.45">
      <c r="A265" s="155" t="s">
        <v>679</v>
      </c>
      <c r="B265" s="155" t="s">
        <v>680</v>
      </c>
      <c r="C265" s="155"/>
      <c r="D265" s="155" t="s">
        <v>585</v>
      </c>
      <c r="E265" s="4" t="s">
        <v>30</v>
      </c>
      <c r="F265" s="4" t="s">
        <v>586</v>
      </c>
      <c r="G265" s="112">
        <v>2</v>
      </c>
      <c r="H265" s="155" t="s">
        <v>587</v>
      </c>
      <c r="I265" s="173">
        <v>2</v>
      </c>
      <c r="J265" s="175" t="s">
        <v>678</v>
      </c>
      <c r="K265" s="173">
        <v>1</v>
      </c>
      <c r="L265" s="4">
        <f>K265*I265*G265</f>
        <v>4</v>
      </c>
      <c r="M265" s="165" t="s">
        <v>331</v>
      </c>
      <c r="N265" s="93"/>
      <c r="O265" s="93"/>
      <c r="P265" s="155"/>
      <c r="Q265" s="155"/>
      <c r="R265" s="4"/>
      <c r="S265" s="4"/>
      <c r="T265" s="4"/>
      <c r="U265" s="4"/>
      <c r="V265" s="4"/>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row>
    <row r="266" spans="1:256" ht="41.05" customHeight="1" x14ac:dyDescent="0.45">
      <c r="A266" s="155"/>
      <c r="B266" s="155"/>
      <c r="C266" s="155"/>
      <c r="D266" s="155"/>
      <c r="E266" s="4" t="s">
        <v>38</v>
      </c>
      <c r="F266" s="7" t="s">
        <v>589</v>
      </c>
      <c r="G266" s="112">
        <v>5</v>
      </c>
      <c r="H266" s="155"/>
      <c r="I266" s="173"/>
      <c r="J266" s="176"/>
      <c r="K266" s="173"/>
      <c r="L266" s="4">
        <f>K265*I265*G266</f>
        <v>10</v>
      </c>
      <c r="M266" s="166"/>
      <c r="N266" s="93"/>
      <c r="O266" s="93"/>
      <c r="P266" s="155"/>
      <c r="Q266" s="155"/>
      <c r="R266" s="4"/>
      <c r="S266" s="4"/>
      <c r="T266" s="4"/>
      <c r="U266" s="4"/>
      <c r="V266" s="4"/>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row>
    <row r="267" spans="1:256" ht="19" customHeight="1" x14ac:dyDescent="0.45">
      <c r="A267" s="155"/>
      <c r="B267" s="155"/>
      <c r="C267" s="155"/>
      <c r="D267" s="155"/>
      <c r="E267" s="7" t="s">
        <v>40</v>
      </c>
      <c r="F267" s="4" t="s">
        <v>590</v>
      </c>
      <c r="G267" s="7">
        <v>2</v>
      </c>
      <c r="H267" s="155"/>
      <c r="I267" s="173"/>
      <c r="J267" s="176"/>
      <c r="K267" s="173"/>
      <c r="L267" s="4">
        <f>K265*I265*G267</f>
        <v>4</v>
      </c>
      <c r="M267" s="166"/>
      <c r="N267" s="93"/>
      <c r="O267" s="93"/>
      <c r="P267" s="155"/>
      <c r="Q267" s="155"/>
      <c r="R267" s="4"/>
      <c r="S267" s="4"/>
      <c r="T267" s="4"/>
      <c r="U267" s="4"/>
      <c r="V267" s="4"/>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row>
    <row r="268" spans="1:256" ht="41.05" customHeight="1" x14ac:dyDescent="0.45">
      <c r="A268" s="155"/>
      <c r="B268" s="155"/>
      <c r="C268" s="155"/>
      <c r="D268" s="155" t="s">
        <v>657</v>
      </c>
      <c r="E268" s="7" t="s">
        <v>30</v>
      </c>
      <c r="F268" s="7" t="s">
        <v>658</v>
      </c>
      <c r="G268" s="7">
        <v>7</v>
      </c>
      <c r="H268" s="155" t="s">
        <v>659</v>
      </c>
      <c r="I268" s="155">
        <v>2</v>
      </c>
      <c r="J268" s="176"/>
      <c r="K268" s="173">
        <v>7</v>
      </c>
      <c r="L268" s="4">
        <f>K268*I268*G268</f>
        <v>98</v>
      </c>
      <c r="M268" s="166"/>
      <c r="N268" s="93"/>
      <c r="O268" s="93"/>
      <c r="P268" s="155"/>
      <c r="Q268" s="155"/>
      <c r="R268" s="4"/>
      <c r="S268" s="4"/>
      <c r="T268" s="4"/>
      <c r="U268" s="4"/>
      <c r="V268" s="4"/>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row>
    <row r="269" spans="1:256" ht="41.05" customHeight="1" x14ac:dyDescent="0.45">
      <c r="A269" s="155"/>
      <c r="B269" s="155"/>
      <c r="C269" s="155"/>
      <c r="D269" s="155"/>
      <c r="E269" s="7" t="s">
        <v>38</v>
      </c>
      <c r="F269" s="7" t="s">
        <v>660</v>
      </c>
      <c r="G269" s="7">
        <v>6</v>
      </c>
      <c r="H269" s="155"/>
      <c r="I269" s="155"/>
      <c r="J269" s="176"/>
      <c r="K269" s="173"/>
      <c r="L269" s="4">
        <f>K268*I268*G269</f>
        <v>84</v>
      </c>
      <c r="M269" s="166"/>
      <c r="N269" s="93"/>
      <c r="O269" s="93"/>
      <c r="P269" s="155"/>
      <c r="Q269" s="155"/>
      <c r="R269" s="4"/>
      <c r="S269" s="4"/>
      <c r="T269" s="4"/>
      <c r="U269" s="4"/>
      <c r="V269" s="4"/>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row>
    <row r="270" spans="1:256" ht="41.05" customHeight="1" x14ac:dyDescent="0.45">
      <c r="A270" s="155"/>
      <c r="B270" s="155"/>
      <c r="C270" s="155"/>
      <c r="D270" s="155"/>
      <c r="E270" s="7" t="s">
        <v>40</v>
      </c>
      <c r="F270" s="7" t="s">
        <v>658</v>
      </c>
      <c r="G270" s="7">
        <v>7</v>
      </c>
      <c r="H270" s="155"/>
      <c r="I270" s="155"/>
      <c r="J270" s="177"/>
      <c r="K270" s="173"/>
      <c r="L270" s="4">
        <f>K268*I268*G270</f>
        <v>98</v>
      </c>
      <c r="M270" s="167"/>
      <c r="N270" s="93"/>
      <c r="O270" s="93"/>
      <c r="P270" s="155"/>
      <c r="Q270" s="155"/>
      <c r="R270" s="4"/>
      <c r="S270" s="4"/>
      <c r="T270" s="4"/>
      <c r="U270" s="4"/>
      <c r="V270" s="4"/>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row>
    <row r="271" spans="1:256" ht="34" customHeight="1" x14ac:dyDescent="0.45">
      <c r="A271" s="155" t="s">
        <v>681</v>
      </c>
      <c r="B271" s="155" t="s">
        <v>682</v>
      </c>
      <c r="C271" s="155"/>
      <c r="D271" s="155" t="s">
        <v>585</v>
      </c>
      <c r="E271" s="4" t="s">
        <v>30</v>
      </c>
      <c r="F271" s="4" t="s">
        <v>586</v>
      </c>
      <c r="G271" s="112">
        <v>2</v>
      </c>
      <c r="H271" s="155" t="s">
        <v>587</v>
      </c>
      <c r="I271" s="173">
        <v>2</v>
      </c>
      <c r="J271" s="160" t="s">
        <v>683</v>
      </c>
      <c r="K271" s="173">
        <v>1</v>
      </c>
      <c r="L271" s="4">
        <v>4</v>
      </c>
      <c r="M271" s="155" t="s">
        <v>331</v>
      </c>
      <c r="N271" s="93"/>
      <c r="O271" s="93"/>
      <c r="P271" s="155"/>
      <c r="Q271" s="155"/>
      <c r="R271" s="4"/>
      <c r="S271" s="4"/>
      <c r="T271" s="4"/>
      <c r="U271" s="4"/>
      <c r="V271" s="4"/>
      <c r="HQ271" s="87"/>
      <c r="HR271" s="87"/>
      <c r="HS271" s="87"/>
      <c r="HT271" s="87"/>
      <c r="HU271" s="87"/>
      <c r="HV271" s="87"/>
    </row>
    <row r="272" spans="1:256" ht="34" customHeight="1" x14ac:dyDescent="0.45">
      <c r="A272" s="155"/>
      <c r="B272" s="155"/>
      <c r="C272" s="155"/>
      <c r="D272" s="155"/>
      <c r="E272" s="4" t="s">
        <v>38</v>
      </c>
      <c r="F272" s="7" t="s">
        <v>589</v>
      </c>
      <c r="G272" s="112">
        <v>5</v>
      </c>
      <c r="H272" s="155"/>
      <c r="I272" s="173"/>
      <c r="J272" s="160"/>
      <c r="K272" s="173"/>
      <c r="L272" s="4">
        <v>10</v>
      </c>
      <c r="M272" s="155"/>
      <c r="N272" s="93"/>
      <c r="O272" s="93"/>
      <c r="P272" s="155"/>
      <c r="Q272" s="155"/>
      <c r="R272" s="4"/>
      <c r="S272" s="4"/>
      <c r="T272" s="4"/>
      <c r="U272" s="4"/>
      <c r="V272" s="4"/>
      <c r="HQ272" s="87"/>
      <c r="HR272" s="87"/>
      <c r="HS272" s="87"/>
      <c r="HT272" s="87"/>
      <c r="HU272" s="87"/>
      <c r="HV272" s="87"/>
    </row>
    <row r="273" spans="1:230" ht="34" customHeight="1" x14ac:dyDescent="0.45">
      <c r="A273" s="155"/>
      <c r="B273" s="155"/>
      <c r="C273" s="155"/>
      <c r="D273" s="155"/>
      <c r="E273" s="7" t="s">
        <v>40</v>
      </c>
      <c r="F273" s="4" t="s">
        <v>590</v>
      </c>
      <c r="G273" s="7">
        <v>2</v>
      </c>
      <c r="H273" s="155"/>
      <c r="I273" s="173"/>
      <c r="J273" s="160"/>
      <c r="K273" s="173"/>
      <c r="L273" s="7">
        <v>4</v>
      </c>
      <c r="M273" s="155"/>
      <c r="N273" s="93"/>
      <c r="O273" s="93"/>
      <c r="P273" s="155"/>
      <c r="Q273" s="155"/>
      <c r="R273" s="4"/>
      <c r="S273" s="4"/>
      <c r="T273" s="4"/>
      <c r="U273" s="4"/>
      <c r="V273" s="4"/>
      <c r="HQ273" s="87"/>
      <c r="HR273" s="87"/>
      <c r="HS273" s="87"/>
      <c r="HT273" s="87"/>
      <c r="HU273" s="87"/>
      <c r="HV273" s="87"/>
    </row>
    <row r="274" spans="1:230" ht="34" customHeight="1" x14ac:dyDescent="0.45">
      <c r="A274" s="155"/>
      <c r="B274" s="155"/>
      <c r="C274" s="155"/>
      <c r="D274" s="155" t="s">
        <v>591</v>
      </c>
      <c r="E274" s="4" t="s">
        <v>30</v>
      </c>
      <c r="F274" s="4" t="s">
        <v>586</v>
      </c>
      <c r="G274" s="112">
        <v>2</v>
      </c>
      <c r="H274" s="155" t="s">
        <v>684</v>
      </c>
      <c r="I274" s="155">
        <v>1</v>
      </c>
      <c r="J274" s="160" t="s">
        <v>593</v>
      </c>
      <c r="K274" s="155">
        <v>1</v>
      </c>
      <c r="L274" s="4">
        <v>4</v>
      </c>
      <c r="M274" s="155"/>
      <c r="N274" s="93"/>
      <c r="O274" s="93"/>
      <c r="P274" s="155"/>
      <c r="Q274" s="155"/>
      <c r="R274" s="4"/>
      <c r="S274" s="4"/>
      <c r="T274" s="4"/>
      <c r="U274" s="4"/>
      <c r="V274" s="4"/>
      <c r="HQ274" s="87"/>
      <c r="HR274" s="87"/>
      <c r="HS274" s="87"/>
      <c r="HT274" s="87"/>
      <c r="HU274" s="87"/>
      <c r="HV274" s="87"/>
    </row>
    <row r="275" spans="1:230" ht="34" customHeight="1" x14ac:dyDescent="0.45">
      <c r="A275" s="155"/>
      <c r="B275" s="155"/>
      <c r="C275" s="155"/>
      <c r="D275" s="155"/>
      <c r="E275" s="4" t="s">
        <v>38</v>
      </c>
      <c r="F275" s="7" t="s">
        <v>589</v>
      </c>
      <c r="G275" s="112">
        <v>5</v>
      </c>
      <c r="H275" s="155"/>
      <c r="I275" s="155"/>
      <c r="J275" s="160"/>
      <c r="K275" s="155"/>
      <c r="L275" s="4">
        <v>10</v>
      </c>
      <c r="M275" s="155"/>
      <c r="N275" s="93"/>
      <c r="O275" s="93"/>
      <c r="P275" s="155"/>
      <c r="Q275" s="155"/>
      <c r="R275" s="4"/>
      <c r="S275" s="4"/>
      <c r="T275" s="4"/>
      <c r="U275" s="4"/>
      <c r="V275" s="4"/>
      <c r="HQ275" s="87"/>
      <c r="HR275" s="87"/>
      <c r="HS275" s="87"/>
      <c r="HT275" s="87"/>
      <c r="HU275" s="87"/>
      <c r="HV275" s="87"/>
    </row>
    <row r="276" spans="1:230" ht="34" customHeight="1" x14ac:dyDescent="0.45">
      <c r="A276" s="155"/>
      <c r="B276" s="155"/>
      <c r="C276" s="155"/>
      <c r="D276" s="155"/>
      <c r="E276" s="7" t="s">
        <v>40</v>
      </c>
      <c r="F276" s="4" t="s">
        <v>590</v>
      </c>
      <c r="G276" s="7">
        <v>2</v>
      </c>
      <c r="H276" s="155"/>
      <c r="I276" s="155"/>
      <c r="J276" s="160"/>
      <c r="K276" s="155"/>
      <c r="L276" s="7">
        <v>4</v>
      </c>
      <c r="M276" s="155"/>
      <c r="N276" s="93"/>
      <c r="O276" s="93"/>
      <c r="P276" s="155"/>
      <c r="Q276" s="155"/>
      <c r="R276" s="4"/>
      <c r="S276" s="4"/>
      <c r="T276" s="4"/>
      <c r="U276" s="4"/>
      <c r="V276" s="4"/>
      <c r="HQ276" s="87"/>
      <c r="HR276" s="87"/>
      <c r="HS276" s="87"/>
      <c r="HT276" s="87"/>
      <c r="HU276" s="87"/>
      <c r="HV276" s="87"/>
    </row>
    <row r="277" spans="1:230" s="87" customFormat="1" ht="46" customHeight="1" x14ac:dyDescent="0.45">
      <c r="A277" s="155" t="s">
        <v>685</v>
      </c>
      <c r="B277" s="160" t="s">
        <v>686</v>
      </c>
      <c r="C277" s="160"/>
      <c r="D277" s="7" t="s">
        <v>687</v>
      </c>
      <c r="E277" s="4" t="s">
        <v>40</v>
      </c>
      <c r="F277" s="4" t="s">
        <v>590</v>
      </c>
      <c r="G277" s="112">
        <v>4</v>
      </c>
      <c r="H277" s="7" t="s">
        <v>688</v>
      </c>
      <c r="I277" s="112">
        <v>2</v>
      </c>
      <c r="J277" s="60" t="s">
        <v>689</v>
      </c>
      <c r="K277" s="112">
        <v>7</v>
      </c>
      <c r="L277" s="4">
        <f t="shared" ref="L277:L280" si="17">K277*I277*G277</f>
        <v>56</v>
      </c>
      <c r="M277" s="4"/>
      <c r="N277" s="4"/>
      <c r="O277" s="93"/>
      <c r="P277" s="155"/>
      <c r="Q277" s="155"/>
      <c r="R277" s="4"/>
      <c r="S277" s="4"/>
      <c r="T277" s="4"/>
      <c r="U277" s="4"/>
      <c r="V277" s="4"/>
      <c r="HF277"/>
      <c r="HG277"/>
      <c r="HH277"/>
      <c r="HI277"/>
    </row>
    <row r="278" spans="1:230" s="87" customFormat="1" ht="46" customHeight="1" x14ac:dyDescent="0.45">
      <c r="A278" s="155"/>
      <c r="B278" s="160"/>
      <c r="C278" s="160"/>
      <c r="D278" s="7" t="s">
        <v>690</v>
      </c>
      <c r="E278" s="7" t="s">
        <v>40</v>
      </c>
      <c r="F278" s="7" t="s">
        <v>609</v>
      </c>
      <c r="G278" s="7">
        <v>1</v>
      </c>
      <c r="H278" s="7" t="s">
        <v>688</v>
      </c>
      <c r="I278" s="112">
        <v>2</v>
      </c>
      <c r="J278" s="60" t="s">
        <v>689</v>
      </c>
      <c r="K278" s="7">
        <v>7</v>
      </c>
      <c r="L278" s="4">
        <f t="shared" si="17"/>
        <v>14</v>
      </c>
      <c r="M278" s="4"/>
      <c r="N278" s="4"/>
      <c r="O278" s="93"/>
      <c r="P278" s="155"/>
      <c r="Q278" s="155"/>
      <c r="R278" s="4"/>
      <c r="S278" s="4"/>
      <c r="T278" s="4"/>
      <c r="U278" s="4"/>
      <c r="V278" s="4"/>
      <c r="HF278"/>
      <c r="HG278"/>
      <c r="HH278"/>
      <c r="HI278"/>
    </row>
    <row r="279" spans="1:230" s="87" customFormat="1" ht="46" customHeight="1" x14ac:dyDescent="0.45">
      <c r="A279" s="155"/>
      <c r="B279" s="160"/>
      <c r="C279" s="160"/>
      <c r="D279" s="155" t="s">
        <v>691</v>
      </c>
      <c r="E279" s="4" t="s">
        <v>40</v>
      </c>
      <c r="F279" s="4" t="s">
        <v>609</v>
      </c>
      <c r="G279" s="112">
        <v>1</v>
      </c>
      <c r="H279" s="7" t="s">
        <v>688</v>
      </c>
      <c r="I279" s="112">
        <v>2</v>
      </c>
      <c r="J279" s="60" t="s">
        <v>692</v>
      </c>
      <c r="K279" s="112">
        <v>7</v>
      </c>
      <c r="L279" s="4">
        <f t="shared" si="17"/>
        <v>14</v>
      </c>
      <c r="M279" s="4"/>
      <c r="N279" s="4"/>
      <c r="O279" s="93"/>
      <c r="P279" s="155"/>
      <c r="Q279" s="155"/>
      <c r="R279" s="4"/>
      <c r="S279" s="4"/>
      <c r="T279" s="4"/>
      <c r="U279" s="4"/>
      <c r="V279" s="4"/>
      <c r="HF279"/>
      <c r="HG279"/>
      <c r="HH279"/>
      <c r="HI279"/>
    </row>
    <row r="280" spans="1:230" s="87" customFormat="1" ht="46" customHeight="1" x14ac:dyDescent="0.45">
      <c r="A280" s="155"/>
      <c r="B280" s="160"/>
      <c r="C280" s="160"/>
      <c r="D280" s="155"/>
      <c r="E280" s="4" t="s">
        <v>38</v>
      </c>
      <c r="F280" s="4" t="s">
        <v>693</v>
      </c>
      <c r="G280" s="112">
        <v>6</v>
      </c>
      <c r="H280" s="7" t="s">
        <v>688</v>
      </c>
      <c r="I280" s="112">
        <v>2</v>
      </c>
      <c r="J280" s="60" t="s">
        <v>692</v>
      </c>
      <c r="K280" s="112">
        <v>7</v>
      </c>
      <c r="L280" s="4">
        <f t="shared" si="17"/>
        <v>84</v>
      </c>
      <c r="M280" s="4"/>
      <c r="N280" s="4"/>
      <c r="O280" s="93"/>
      <c r="P280" s="155"/>
      <c r="Q280" s="155"/>
      <c r="R280" s="4"/>
      <c r="S280" s="4"/>
      <c r="T280" s="4"/>
      <c r="U280" s="4"/>
      <c r="V280" s="4"/>
      <c r="HF280"/>
      <c r="HG280"/>
      <c r="HH280"/>
      <c r="HI280"/>
    </row>
    <row r="281" spans="1:230" ht="33" customHeight="1" x14ac:dyDescent="0.45">
      <c r="A281" s="161" t="s">
        <v>694</v>
      </c>
      <c r="B281" s="162"/>
      <c r="C281" s="162"/>
      <c r="D281" s="162"/>
      <c r="E281" s="162"/>
      <c r="F281" s="162"/>
      <c r="G281" s="162"/>
      <c r="H281" s="162" t="s">
        <v>695</v>
      </c>
      <c r="I281" s="162"/>
      <c r="J281" s="162"/>
      <c r="K281" s="162"/>
      <c r="L281" s="162"/>
      <c r="M281" s="162"/>
      <c r="N281" s="162" t="s">
        <v>696</v>
      </c>
      <c r="O281" s="162"/>
      <c r="P281" s="162"/>
      <c r="Q281" s="162"/>
      <c r="R281" s="162"/>
      <c r="S281" s="162"/>
      <c r="T281" s="162"/>
      <c r="U281" s="162"/>
      <c r="V281" s="162"/>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row>
  </sheetData>
  <autoFilter ref="A7:IV281" xr:uid="{00000000-0009-0000-0000-000001000000}"/>
  <mergeCells count="802">
    <mergeCell ref="B181:C186"/>
    <mergeCell ref="B202:C207"/>
    <mergeCell ref="B217:C222"/>
    <mergeCell ref="B253:C258"/>
    <mergeCell ref="B157:C162"/>
    <mergeCell ref="B277:C280"/>
    <mergeCell ref="B149:C150"/>
    <mergeCell ref="B143:C145"/>
    <mergeCell ref="B146:C148"/>
    <mergeCell ref="B187:C192"/>
    <mergeCell ref="B208:C213"/>
    <mergeCell ref="B214:C216"/>
    <mergeCell ref="B193:C195"/>
    <mergeCell ref="P193:Q195"/>
    <mergeCell ref="B229:C234"/>
    <mergeCell ref="B223:C228"/>
    <mergeCell ref="B259:C264"/>
    <mergeCell ref="B265:C270"/>
    <mergeCell ref="B247:C252"/>
    <mergeCell ref="B241:C246"/>
    <mergeCell ref="B235:C240"/>
    <mergeCell ref="B196:C201"/>
    <mergeCell ref="B175:C177"/>
    <mergeCell ref="B178:C180"/>
    <mergeCell ref="B151:C153"/>
    <mergeCell ref="B166:C168"/>
    <mergeCell ref="B169:C171"/>
    <mergeCell ref="B172:C174"/>
    <mergeCell ref="B125:C130"/>
    <mergeCell ref="B121:C124"/>
    <mergeCell ref="B154:C156"/>
    <mergeCell ref="B137:C139"/>
    <mergeCell ref="B131:C136"/>
    <mergeCell ref="B140:C142"/>
    <mergeCell ref="B163:C165"/>
    <mergeCell ref="B81:C83"/>
    <mergeCell ref="P72:Q74"/>
    <mergeCell ref="B75:C77"/>
    <mergeCell ref="P88:Q92"/>
    <mergeCell ref="B91:C92"/>
    <mergeCell ref="B93:C94"/>
    <mergeCell ref="B99:C100"/>
    <mergeCell ref="P99:Q100"/>
    <mergeCell ref="B103:C104"/>
    <mergeCell ref="P103:Q104"/>
    <mergeCell ref="B12:C13"/>
    <mergeCell ref="P12:Q13"/>
    <mergeCell ref="B6:C7"/>
    <mergeCell ref="B16:C19"/>
    <mergeCell ref="B85:C86"/>
    <mergeCell ref="P85:Q86"/>
    <mergeCell ref="P37:Q38"/>
    <mergeCell ref="B53:C54"/>
    <mergeCell ref="B39:C41"/>
    <mergeCell ref="B35:C36"/>
    <mergeCell ref="B31:C32"/>
    <mergeCell ref="B42:C44"/>
    <mergeCell ref="P42:Q45"/>
    <mergeCell ref="B23:C25"/>
    <mergeCell ref="B51:C52"/>
    <mergeCell ref="P48:Q52"/>
    <mergeCell ref="B56:C58"/>
    <mergeCell ref="B59:C61"/>
    <mergeCell ref="P59:Q62"/>
    <mergeCell ref="P63:Q66"/>
    <mergeCell ref="B64:C65"/>
    <mergeCell ref="P67:Q70"/>
    <mergeCell ref="B68:C69"/>
    <mergeCell ref="B78:C80"/>
    <mergeCell ref="R48:R52"/>
    <mergeCell ref="R88:R92"/>
    <mergeCell ref="S48:S52"/>
    <mergeCell ref="S88:S92"/>
    <mergeCell ref="T48:T52"/>
    <mergeCell ref="T88:T92"/>
    <mergeCell ref="U48:U52"/>
    <mergeCell ref="U88:U92"/>
    <mergeCell ref="V6:V7"/>
    <mergeCell ref="V37:V38"/>
    <mergeCell ref="V42:V45"/>
    <mergeCell ref="V48:V52"/>
    <mergeCell ref="V59:V62"/>
    <mergeCell ref="V63:V66"/>
    <mergeCell ref="V67:V70"/>
    <mergeCell ref="V72:V74"/>
    <mergeCell ref="V88:V92"/>
    <mergeCell ref="N193:N195"/>
    <mergeCell ref="N253:N258"/>
    <mergeCell ref="O6:O7"/>
    <mergeCell ref="O12:O13"/>
    <mergeCell ref="O37:O38"/>
    <mergeCell ref="O42:O45"/>
    <mergeCell ref="O48:O52"/>
    <mergeCell ref="O59:O62"/>
    <mergeCell ref="O63:O66"/>
    <mergeCell ref="O67:O70"/>
    <mergeCell ref="O72:O74"/>
    <mergeCell ref="O85:O86"/>
    <mergeCell ref="O88:O92"/>
    <mergeCell ref="O93:O94"/>
    <mergeCell ref="O109:O110"/>
    <mergeCell ref="O193:O195"/>
    <mergeCell ref="M241:M246"/>
    <mergeCell ref="M247:M252"/>
    <mergeCell ref="M253:M258"/>
    <mergeCell ref="M259:M264"/>
    <mergeCell ref="M265:M270"/>
    <mergeCell ref="M271:M276"/>
    <mergeCell ref="N6:N7"/>
    <mergeCell ref="N12:N13"/>
    <mergeCell ref="N35:N36"/>
    <mergeCell ref="N37:N38"/>
    <mergeCell ref="N42:N45"/>
    <mergeCell ref="N48:N52"/>
    <mergeCell ref="N59:N62"/>
    <mergeCell ref="N63:N66"/>
    <mergeCell ref="N67:N70"/>
    <mergeCell ref="N72:N74"/>
    <mergeCell ref="N85:N86"/>
    <mergeCell ref="N88:N92"/>
    <mergeCell ref="N99:N100"/>
    <mergeCell ref="N103:N104"/>
    <mergeCell ref="N107:N108"/>
    <mergeCell ref="N125:N130"/>
    <mergeCell ref="N131:N136"/>
    <mergeCell ref="N157:N162"/>
    <mergeCell ref="M193:M195"/>
    <mergeCell ref="M196:M201"/>
    <mergeCell ref="M202:M207"/>
    <mergeCell ref="M208:M213"/>
    <mergeCell ref="M214:M216"/>
    <mergeCell ref="M217:M222"/>
    <mergeCell ref="M223:M228"/>
    <mergeCell ref="M229:M234"/>
    <mergeCell ref="M235:M240"/>
    <mergeCell ref="M157:M162"/>
    <mergeCell ref="M163:M165"/>
    <mergeCell ref="M166:M168"/>
    <mergeCell ref="M169:M171"/>
    <mergeCell ref="M172:M174"/>
    <mergeCell ref="M175:M177"/>
    <mergeCell ref="M178:M180"/>
    <mergeCell ref="M181:M186"/>
    <mergeCell ref="M187:M192"/>
    <mergeCell ref="M121:M124"/>
    <mergeCell ref="M125:M130"/>
    <mergeCell ref="M131:M136"/>
    <mergeCell ref="M137:M139"/>
    <mergeCell ref="M140:M142"/>
    <mergeCell ref="M143:M148"/>
    <mergeCell ref="M149:M150"/>
    <mergeCell ref="M151:M153"/>
    <mergeCell ref="M154:M156"/>
    <mergeCell ref="M85:M87"/>
    <mergeCell ref="M88:M92"/>
    <mergeCell ref="M93:M94"/>
    <mergeCell ref="M95:M98"/>
    <mergeCell ref="M99:M100"/>
    <mergeCell ref="M103:M104"/>
    <mergeCell ref="M105:M106"/>
    <mergeCell ref="M107:M108"/>
    <mergeCell ref="M109:M110"/>
    <mergeCell ref="M12:M13"/>
    <mergeCell ref="M16:M19"/>
    <mergeCell ref="M20:M21"/>
    <mergeCell ref="M23:M25"/>
    <mergeCell ref="M26:M27"/>
    <mergeCell ref="M28:M30"/>
    <mergeCell ref="M31:M33"/>
    <mergeCell ref="M35:M36"/>
    <mergeCell ref="M37:M38"/>
    <mergeCell ref="K253:K255"/>
    <mergeCell ref="K256:K258"/>
    <mergeCell ref="K259:K261"/>
    <mergeCell ref="K262:K264"/>
    <mergeCell ref="K265:K267"/>
    <mergeCell ref="K268:K270"/>
    <mergeCell ref="K271:K273"/>
    <mergeCell ref="K274:K276"/>
    <mergeCell ref="L6:L7"/>
    <mergeCell ref="K226:K228"/>
    <mergeCell ref="K229:K231"/>
    <mergeCell ref="K232:K234"/>
    <mergeCell ref="K235:K237"/>
    <mergeCell ref="K238:K240"/>
    <mergeCell ref="K241:K243"/>
    <mergeCell ref="K244:K246"/>
    <mergeCell ref="K247:K249"/>
    <mergeCell ref="K250:K252"/>
    <mergeCell ref="K125:K127"/>
    <mergeCell ref="K128:K130"/>
    <mergeCell ref="K131:K133"/>
    <mergeCell ref="K134:K136"/>
    <mergeCell ref="K157:K159"/>
    <mergeCell ref="K160:K162"/>
    <mergeCell ref="K217:K219"/>
    <mergeCell ref="K220:K222"/>
    <mergeCell ref="K223:K225"/>
    <mergeCell ref="J229:J234"/>
    <mergeCell ref="J235:J240"/>
    <mergeCell ref="J241:J246"/>
    <mergeCell ref="J247:J252"/>
    <mergeCell ref="J253:J255"/>
    <mergeCell ref="J256:J258"/>
    <mergeCell ref="J259:J264"/>
    <mergeCell ref="J265:J270"/>
    <mergeCell ref="J271:J273"/>
    <mergeCell ref="J184:J186"/>
    <mergeCell ref="J187:J192"/>
    <mergeCell ref="J193:J195"/>
    <mergeCell ref="J196:J201"/>
    <mergeCell ref="J202:J207"/>
    <mergeCell ref="J208:J213"/>
    <mergeCell ref="J214:J216"/>
    <mergeCell ref="J217:J222"/>
    <mergeCell ref="J223:J228"/>
    <mergeCell ref="J157:J159"/>
    <mergeCell ref="J160:J162"/>
    <mergeCell ref="J163:J165"/>
    <mergeCell ref="J166:J168"/>
    <mergeCell ref="J169:J171"/>
    <mergeCell ref="J172:J174"/>
    <mergeCell ref="J175:J177"/>
    <mergeCell ref="J178:J180"/>
    <mergeCell ref="J181:J183"/>
    <mergeCell ref="J128:J130"/>
    <mergeCell ref="J131:J133"/>
    <mergeCell ref="J134:J136"/>
    <mergeCell ref="J137:J139"/>
    <mergeCell ref="J140:J142"/>
    <mergeCell ref="J143:J148"/>
    <mergeCell ref="J149:J150"/>
    <mergeCell ref="J151:J153"/>
    <mergeCell ref="J154:J156"/>
    <mergeCell ref="J99:J100"/>
    <mergeCell ref="J103:J104"/>
    <mergeCell ref="J105:J106"/>
    <mergeCell ref="J107:J108"/>
    <mergeCell ref="J109:J110"/>
    <mergeCell ref="J111:J113"/>
    <mergeCell ref="J117:J120"/>
    <mergeCell ref="J121:J124"/>
    <mergeCell ref="J125:J127"/>
    <mergeCell ref="J12:J13"/>
    <mergeCell ref="J16:J19"/>
    <mergeCell ref="J20:J21"/>
    <mergeCell ref="J23:J25"/>
    <mergeCell ref="J31:J34"/>
    <mergeCell ref="J35:J36"/>
    <mergeCell ref="J37:J38"/>
    <mergeCell ref="J39:J41"/>
    <mergeCell ref="J42:J45"/>
    <mergeCell ref="I247:I249"/>
    <mergeCell ref="I250:I252"/>
    <mergeCell ref="I253:I255"/>
    <mergeCell ref="I256:I258"/>
    <mergeCell ref="I259:I261"/>
    <mergeCell ref="I262:I264"/>
    <mergeCell ref="I265:I267"/>
    <mergeCell ref="I268:I270"/>
    <mergeCell ref="I271:I273"/>
    <mergeCell ref="H253:H255"/>
    <mergeCell ref="H256:H258"/>
    <mergeCell ref="H259:H261"/>
    <mergeCell ref="H262:H264"/>
    <mergeCell ref="H265:H267"/>
    <mergeCell ref="H268:H270"/>
    <mergeCell ref="H271:H273"/>
    <mergeCell ref="H274:H276"/>
    <mergeCell ref="I125:I127"/>
    <mergeCell ref="I128:I130"/>
    <mergeCell ref="I131:I133"/>
    <mergeCell ref="I134:I136"/>
    <mergeCell ref="I157:I159"/>
    <mergeCell ref="I160:I162"/>
    <mergeCell ref="I217:I219"/>
    <mergeCell ref="I220:I222"/>
    <mergeCell ref="I223:I225"/>
    <mergeCell ref="I226:I228"/>
    <mergeCell ref="I229:I231"/>
    <mergeCell ref="I232:I234"/>
    <mergeCell ref="I235:I237"/>
    <mergeCell ref="I238:I240"/>
    <mergeCell ref="I241:I243"/>
    <mergeCell ref="I244:I246"/>
    <mergeCell ref="H226:H228"/>
    <mergeCell ref="H229:H231"/>
    <mergeCell ref="H232:H234"/>
    <mergeCell ref="H235:H237"/>
    <mergeCell ref="H238:H240"/>
    <mergeCell ref="H241:H243"/>
    <mergeCell ref="H244:H246"/>
    <mergeCell ref="H247:H249"/>
    <mergeCell ref="H250:H252"/>
    <mergeCell ref="H199:H201"/>
    <mergeCell ref="H202:H204"/>
    <mergeCell ref="H205:H207"/>
    <mergeCell ref="H208:H210"/>
    <mergeCell ref="H211:H213"/>
    <mergeCell ref="H214:H216"/>
    <mergeCell ref="H217:H219"/>
    <mergeCell ref="H220:H222"/>
    <mergeCell ref="H223:H225"/>
    <mergeCell ref="H172:H174"/>
    <mergeCell ref="H175:H177"/>
    <mergeCell ref="H178:H180"/>
    <mergeCell ref="H181:H183"/>
    <mergeCell ref="H184:H186"/>
    <mergeCell ref="H187:H189"/>
    <mergeCell ref="H190:H192"/>
    <mergeCell ref="H193:H195"/>
    <mergeCell ref="H196:H198"/>
    <mergeCell ref="H143:H145"/>
    <mergeCell ref="H146:H148"/>
    <mergeCell ref="H151:H153"/>
    <mergeCell ref="H154:H156"/>
    <mergeCell ref="H157:H159"/>
    <mergeCell ref="H160:H162"/>
    <mergeCell ref="H163:H165"/>
    <mergeCell ref="H166:H168"/>
    <mergeCell ref="H169:H171"/>
    <mergeCell ref="H99:H100"/>
    <mergeCell ref="H103:H104"/>
    <mergeCell ref="H107:H108"/>
    <mergeCell ref="H125:H127"/>
    <mergeCell ref="H128:H130"/>
    <mergeCell ref="H131:H133"/>
    <mergeCell ref="H134:H136"/>
    <mergeCell ref="H137:H139"/>
    <mergeCell ref="H140:H142"/>
    <mergeCell ref="D265:D267"/>
    <mergeCell ref="D268:D270"/>
    <mergeCell ref="D271:D273"/>
    <mergeCell ref="D274:D276"/>
    <mergeCell ref="D279:D280"/>
    <mergeCell ref="F48:F52"/>
    <mergeCell ref="F88:F92"/>
    <mergeCell ref="F114:F116"/>
    <mergeCell ref="F118:F120"/>
    <mergeCell ref="F121:F124"/>
    <mergeCell ref="D238:D240"/>
    <mergeCell ref="D241:D243"/>
    <mergeCell ref="D244:D246"/>
    <mergeCell ref="D247:D249"/>
    <mergeCell ref="D250:D252"/>
    <mergeCell ref="D253:D255"/>
    <mergeCell ref="D256:D258"/>
    <mergeCell ref="D259:D261"/>
    <mergeCell ref="D262:D264"/>
    <mergeCell ref="D211:D213"/>
    <mergeCell ref="D214:D216"/>
    <mergeCell ref="D217:D219"/>
    <mergeCell ref="D220:D222"/>
    <mergeCell ref="D223:D225"/>
    <mergeCell ref="D226:D228"/>
    <mergeCell ref="D229:D231"/>
    <mergeCell ref="D232:D234"/>
    <mergeCell ref="D235:D237"/>
    <mergeCell ref="D184:D186"/>
    <mergeCell ref="D187:D189"/>
    <mergeCell ref="D190:D192"/>
    <mergeCell ref="D193:D195"/>
    <mergeCell ref="D196:D198"/>
    <mergeCell ref="D199:D201"/>
    <mergeCell ref="D202:D204"/>
    <mergeCell ref="D205:D207"/>
    <mergeCell ref="D208:D210"/>
    <mergeCell ref="D157:D159"/>
    <mergeCell ref="D160:D162"/>
    <mergeCell ref="D163:D165"/>
    <mergeCell ref="D166:D168"/>
    <mergeCell ref="D169:D171"/>
    <mergeCell ref="D172:D174"/>
    <mergeCell ref="D175:D177"/>
    <mergeCell ref="D178:D180"/>
    <mergeCell ref="D181:D183"/>
    <mergeCell ref="A241:A246"/>
    <mergeCell ref="A247:A252"/>
    <mergeCell ref="A253:A258"/>
    <mergeCell ref="A259:A264"/>
    <mergeCell ref="A265:A270"/>
    <mergeCell ref="A271:A276"/>
    <mergeCell ref="A277:A280"/>
    <mergeCell ref="D6:D7"/>
    <mergeCell ref="D56:D57"/>
    <mergeCell ref="D85:D86"/>
    <mergeCell ref="D93:D94"/>
    <mergeCell ref="D99:D100"/>
    <mergeCell ref="D103:D104"/>
    <mergeCell ref="D107:D108"/>
    <mergeCell ref="D125:D127"/>
    <mergeCell ref="D128:D130"/>
    <mergeCell ref="D131:D133"/>
    <mergeCell ref="D134:D136"/>
    <mergeCell ref="D137:D139"/>
    <mergeCell ref="D140:D142"/>
    <mergeCell ref="D143:D145"/>
    <mergeCell ref="D146:D148"/>
    <mergeCell ref="D151:D153"/>
    <mergeCell ref="D154:D156"/>
    <mergeCell ref="A193:A195"/>
    <mergeCell ref="A196:A201"/>
    <mergeCell ref="A202:A207"/>
    <mergeCell ref="A208:A213"/>
    <mergeCell ref="A214:A216"/>
    <mergeCell ref="A217:A222"/>
    <mergeCell ref="A223:A228"/>
    <mergeCell ref="A229:A234"/>
    <mergeCell ref="A235:A240"/>
    <mergeCell ref="A157:A162"/>
    <mergeCell ref="A163:A165"/>
    <mergeCell ref="A166:A168"/>
    <mergeCell ref="A169:A171"/>
    <mergeCell ref="A172:A174"/>
    <mergeCell ref="A175:A177"/>
    <mergeCell ref="A178:A180"/>
    <mergeCell ref="A181:A186"/>
    <mergeCell ref="A187:A192"/>
    <mergeCell ref="A121:A124"/>
    <mergeCell ref="A125:A130"/>
    <mergeCell ref="A131:A136"/>
    <mergeCell ref="A137:A139"/>
    <mergeCell ref="A140:A142"/>
    <mergeCell ref="A143:A148"/>
    <mergeCell ref="A149:A150"/>
    <mergeCell ref="A151:A153"/>
    <mergeCell ref="A154:A156"/>
    <mergeCell ref="A95:A98"/>
    <mergeCell ref="A99:A100"/>
    <mergeCell ref="A102:A104"/>
    <mergeCell ref="A105:A106"/>
    <mergeCell ref="A107:A108"/>
    <mergeCell ref="A109:A110"/>
    <mergeCell ref="A111:A113"/>
    <mergeCell ref="A114:A116"/>
    <mergeCell ref="A117:A120"/>
    <mergeCell ref="A63:A66"/>
    <mergeCell ref="A67:A70"/>
    <mergeCell ref="A72:A74"/>
    <mergeCell ref="A75:A77"/>
    <mergeCell ref="A78:A80"/>
    <mergeCell ref="A81:A83"/>
    <mergeCell ref="A85:A87"/>
    <mergeCell ref="A88:A92"/>
    <mergeCell ref="A93:A94"/>
    <mergeCell ref="A35:A36"/>
    <mergeCell ref="A37:A38"/>
    <mergeCell ref="A39:A41"/>
    <mergeCell ref="A42:A45"/>
    <mergeCell ref="A46:A47"/>
    <mergeCell ref="A48:A52"/>
    <mergeCell ref="A53:A55"/>
    <mergeCell ref="A56:A58"/>
    <mergeCell ref="A59:A62"/>
    <mergeCell ref="A8:A11"/>
    <mergeCell ref="A12:A13"/>
    <mergeCell ref="A14:A15"/>
    <mergeCell ref="A16:A19"/>
    <mergeCell ref="A20:A21"/>
    <mergeCell ref="A23:A25"/>
    <mergeCell ref="A26:A27"/>
    <mergeCell ref="A28:A30"/>
    <mergeCell ref="A31:A34"/>
    <mergeCell ref="P274:Q274"/>
    <mergeCell ref="P275:Q275"/>
    <mergeCell ref="P276:Q276"/>
    <mergeCell ref="P277:Q277"/>
    <mergeCell ref="P278:Q278"/>
    <mergeCell ref="P279:Q279"/>
    <mergeCell ref="P280:Q280"/>
    <mergeCell ref="A281:G281"/>
    <mergeCell ref="H281:M281"/>
    <mergeCell ref="N281:V281"/>
    <mergeCell ref="I274:I276"/>
    <mergeCell ref="J274:J276"/>
    <mergeCell ref="B271:C276"/>
    <mergeCell ref="P265:Q265"/>
    <mergeCell ref="P266:Q266"/>
    <mergeCell ref="P267:Q267"/>
    <mergeCell ref="P268:Q268"/>
    <mergeCell ref="P269:Q269"/>
    <mergeCell ref="P270:Q270"/>
    <mergeCell ref="P271:Q271"/>
    <mergeCell ref="P272:Q272"/>
    <mergeCell ref="P273:Q273"/>
    <mergeCell ref="P256:Q256"/>
    <mergeCell ref="P257:Q257"/>
    <mergeCell ref="P258:Q258"/>
    <mergeCell ref="P259:Q259"/>
    <mergeCell ref="P260:Q260"/>
    <mergeCell ref="P261:Q261"/>
    <mergeCell ref="P262:Q262"/>
    <mergeCell ref="P263:Q263"/>
    <mergeCell ref="P264:Q264"/>
    <mergeCell ref="P247:Q247"/>
    <mergeCell ref="P248:Q248"/>
    <mergeCell ref="P249:Q249"/>
    <mergeCell ref="P250:Q250"/>
    <mergeCell ref="P251:Q251"/>
    <mergeCell ref="P252:Q252"/>
    <mergeCell ref="P253:Q253"/>
    <mergeCell ref="P254:Q254"/>
    <mergeCell ref="P255:Q255"/>
    <mergeCell ref="P238:Q238"/>
    <mergeCell ref="P239:Q239"/>
    <mergeCell ref="P240:Q240"/>
    <mergeCell ref="P241:Q241"/>
    <mergeCell ref="P242:Q242"/>
    <mergeCell ref="P243:Q243"/>
    <mergeCell ref="P244:Q244"/>
    <mergeCell ref="P245:Q245"/>
    <mergeCell ref="P246:Q246"/>
    <mergeCell ref="P229:Q229"/>
    <mergeCell ref="P230:Q230"/>
    <mergeCell ref="P231:Q231"/>
    <mergeCell ref="P232:Q232"/>
    <mergeCell ref="P233:Q233"/>
    <mergeCell ref="P234:Q234"/>
    <mergeCell ref="P235:Q235"/>
    <mergeCell ref="P236:Q236"/>
    <mergeCell ref="P237:Q237"/>
    <mergeCell ref="P220:Q220"/>
    <mergeCell ref="P221:Q221"/>
    <mergeCell ref="P222:Q222"/>
    <mergeCell ref="P223:Q223"/>
    <mergeCell ref="P224:Q224"/>
    <mergeCell ref="P225:Q225"/>
    <mergeCell ref="P226:Q226"/>
    <mergeCell ref="P227:Q227"/>
    <mergeCell ref="P228:Q228"/>
    <mergeCell ref="P211:Q211"/>
    <mergeCell ref="P212:Q212"/>
    <mergeCell ref="P213:Q213"/>
    <mergeCell ref="P214:Q214"/>
    <mergeCell ref="P215:Q215"/>
    <mergeCell ref="P216:Q216"/>
    <mergeCell ref="P217:Q217"/>
    <mergeCell ref="P218:Q218"/>
    <mergeCell ref="P219:Q219"/>
    <mergeCell ref="P202:Q202"/>
    <mergeCell ref="P203:Q203"/>
    <mergeCell ref="P204:Q204"/>
    <mergeCell ref="P205:Q205"/>
    <mergeCell ref="P206:Q206"/>
    <mergeCell ref="P207:Q207"/>
    <mergeCell ref="P208:Q208"/>
    <mergeCell ref="P209:Q209"/>
    <mergeCell ref="P210:Q210"/>
    <mergeCell ref="P190:Q190"/>
    <mergeCell ref="P191:Q191"/>
    <mergeCell ref="P192:Q192"/>
    <mergeCell ref="P196:Q196"/>
    <mergeCell ref="P197:Q197"/>
    <mergeCell ref="P198:Q198"/>
    <mergeCell ref="P199:Q199"/>
    <mergeCell ref="P200:Q200"/>
    <mergeCell ref="P201:Q201"/>
    <mergeCell ref="P181:Q181"/>
    <mergeCell ref="P182:Q182"/>
    <mergeCell ref="P183:Q183"/>
    <mergeCell ref="P184:Q184"/>
    <mergeCell ref="P185:Q185"/>
    <mergeCell ref="P186:Q186"/>
    <mergeCell ref="P187:Q187"/>
    <mergeCell ref="P188:Q188"/>
    <mergeCell ref="P189:Q189"/>
    <mergeCell ref="P172:Q172"/>
    <mergeCell ref="P173:Q173"/>
    <mergeCell ref="P174:Q174"/>
    <mergeCell ref="P175:Q175"/>
    <mergeCell ref="P176:Q176"/>
    <mergeCell ref="P177:Q177"/>
    <mergeCell ref="P178:Q178"/>
    <mergeCell ref="P179:Q179"/>
    <mergeCell ref="P180:Q180"/>
    <mergeCell ref="P163:Q163"/>
    <mergeCell ref="P164:Q164"/>
    <mergeCell ref="P165:Q165"/>
    <mergeCell ref="P166:Q166"/>
    <mergeCell ref="P167:Q167"/>
    <mergeCell ref="P168:Q168"/>
    <mergeCell ref="P169:Q169"/>
    <mergeCell ref="P170:Q170"/>
    <mergeCell ref="P171:Q171"/>
    <mergeCell ref="P154:Q154"/>
    <mergeCell ref="P155:Q155"/>
    <mergeCell ref="P156:Q156"/>
    <mergeCell ref="P157:Q157"/>
    <mergeCell ref="P158:Q158"/>
    <mergeCell ref="P159:Q159"/>
    <mergeCell ref="P160:Q160"/>
    <mergeCell ref="P161:Q161"/>
    <mergeCell ref="P162:Q162"/>
    <mergeCell ref="P145:Q145"/>
    <mergeCell ref="P146:Q146"/>
    <mergeCell ref="P147:Q147"/>
    <mergeCell ref="P148:Q148"/>
    <mergeCell ref="P149:Q149"/>
    <mergeCell ref="P150:Q150"/>
    <mergeCell ref="P151:Q151"/>
    <mergeCell ref="P152:Q152"/>
    <mergeCell ref="P153:Q153"/>
    <mergeCell ref="P136:Q136"/>
    <mergeCell ref="P137:Q137"/>
    <mergeCell ref="P138:Q138"/>
    <mergeCell ref="P139:Q139"/>
    <mergeCell ref="P140:Q140"/>
    <mergeCell ref="P141:Q141"/>
    <mergeCell ref="P142:Q142"/>
    <mergeCell ref="P143:Q143"/>
    <mergeCell ref="P144:Q144"/>
    <mergeCell ref="P127:Q127"/>
    <mergeCell ref="P128:Q128"/>
    <mergeCell ref="P129:Q129"/>
    <mergeCell ref="P130:Q130"/>
    <mergeCell ref="P131:Q131"/>
    <mergeCell ref="P132:Q132"/>
    <mergeCell ref="P133:Q133"/>
    <mergeCell ref="P134:Q134"/>
    <mergeCell ref="P135:Q135"/>
    <mergeCell ref="P118:Q118"/>
    <mergeCell ref="P119:Q119"/>
    <mergeCell ref="P120:Q120"/>
    <mergeCell ref="P121:Q121"/>
    <mergeCell ref="P122:Q122"/>
    <mergeCell ref="P123:Q123"/>
    <mergeCell ref="P124:Q124"/>
    <mergeCell ref="P125:Q125"/>
    <mergeCell ref="P126:Q126"/>
    <mergeCell ref="B110:C110"/>
    <mergeCell ref="P110:Q110"/>
    <mergeCell ref="P111:Q111"/>
    <mergeCell ref="P112:Q112"/>
    <mergeCell ref="P113:Q113"/>
    <mergeCell ref="P114:Q114"/>
    <mergeCell ref="P115:Q115"/>
    <mergeCell ref="P116:Q116"/>
    <mergeCell ref="P117:Q117"/>
    <mergeCell ref="M111:M113"/>
    <mergeCell ref="M114:M116"/>
    <mergeCell ref="M117:M120"/>
    <mergeCell ref="B111:C113"/>
    <mergeCell ref="B114:C116"/>
    <mergeCell ref="B117:C120"/>
    <mergeCell ref="B101:C101"/>
    <mergeCell ref="P101:Q101"/>
    <mergeCell ref="B102:C102"/>
    <mergeCell ref="P102:Q102"/>
    <mergeCell ref="B105:C105"/>
    <mergeCell ref="P105:Q105"/>
    <mergeCell ref="B106:C106"/>
    <mergeCell ref="B109:C109"/>
    <mergeCell ref="P109:Q109"/>
    <mergeCell ref="B107:C108"/>
    <mergeCell ref="P107:Q108"/>
    <mergeCell ref="P94:Q94"/>
    <mergeCell ref="B95:C95"/>
    <mergeCell ref="P95:Q95"/>
    <mergeCell ref="B96:C96"/>
    <mergeCell ref="P96:Q96"/>
    <mergeCell ref="B97:C97"/>
    <mergeCell ref="P97:Q97"/>
    <mergeCell ref="B98:C98"/>
    <mergeCell ref="P98:Q98"/>
    <mergeCell ref="H93:H94"/>
    <mergeCell ref="J93:J94"/>
    <mergeCell ref="J95:J98"/>
    <mergeCell ref="B74:C74"/>
    <mergeCell ref="B84:C84"/>
    <mergeCell ref="P84:Q84"/>
    <mergeCell ref="B87:C87"/>
    <mergeCell ref="P87:Q87"/>
    <mergeCell ref="B88:C88"/>
    <mergeCell ref="B89:C89"/>
    <mergeCell ref="B90:C90"/>
    <mergeCell ref="P93:Q93"/>
    <mergeCell ref="H75:H77"/>
    <mergeCell ref="H78:H80"/>
    <mergeCell ref="H81:H83"/>
    <mergeCell ref="H85:H86"/>
    <mergeCell ref="H88:H92"/>
    <mergeCell ref="J72:J74"/>
    <mergeCell ref="J75:J77"/>
    <mergeCell ref="J78:J80"/>
    <mergeCell ref="J81:J83"/>
    <mergeCell ref="J85:J87"/>
    <mergeCell ref="J88:J92"/>
    <mergeCell ref="M72:M74"/>
    <mergeCell ref="M75:M77"/>
    <mergeCell ref="M78:M80"/>
    <mergeCell ref="M81:M83"/>
    <mergeCell ref="B62:C62"/>
    <mergeCell ref="B63:C63"/>
    <mergeCell ref="B66:C66"/>
    <mergeCell ref="B67:C67"/>
    <mergeCell ref="B70:C70"/>
    <mergeCell ref="B71:C71"/>
    <mergeCell ref="P71:Q71"/>
    <mergeCell ref="B72:C72"/>
    <mergeCell ref="B73:C73"/>
    <mergeCell ref="J59:J62"/>
    <mergeCell ref="J63:J66"/>
    <mergeCell ref="J67:J70"/>
    <mergeCell ref="M59:M62"/>
    <mergeCell ref="M63:M66"/>
    <mergeCell ref="M67:M70"/>
    <mergeCell ref="B49:C49"/>
    <mergeCell ref="B50:C50"/>
    <mergeCell ref="P53:Q53"/>
    <mergeCell ref="P54:Q54"/>
    <mergeCell ref="B55:C55"/>
    <mergeCell ref="P55:Q55"/>
    <mergeCell ref="P56:Q56"/>
    <mergeCell ref="P57:Q57"/>
    <mergeCell ref="P58:Q58"/>
    <mergeCell ref="H48:H52"/>
    <mergeCell ref="J48:J52"/>
    <mergeCell ref="J53:J54"/>
    <mergeCell ref="J56:J58"/>
    <mergeCell ref="M48:M52"/>
    <mergeCell ref="M53:M55"/>
    <mergeCell ref="M56:M58"/>
    <mergeCell ref="P39:Q39"/>
    <mergeCell ref="P40:Q40"/>
    <mergeCell ref="P41:Q41"/>
    <mergeCell ref="B45:C45"/>
    <mergeCell ref="B46:C46"/>
    <mergeCell ref="P46:Q46"/>
    <mergeCell ref="B47:C47"/>
    <mergeCell ref="P47:Q47"/>
    <mergeCell ref="B48:C48"/>
    <mergeCell ref="M39:M41"/>
    <mergeCell ref="M42:M45"/>
    <mergeCell ref="P32:Q32"/>
    <mergeCell ref="B33:C33"/>
    <mergeCell ref="P33:Q33"/>
    <mergeCell ref="B34:C34"/>
    <mergeCell ref="P34:Q34"/>
    <mergeCell ref="P35:Q35"/>
    <mergeCell ref="P36:Q36"/>
    <mergeCell ref="B37:C37"/>
    <mergeCell ref="B38:C38"/>
    <mergeCell ref="B27:C27"/>
    <mergeCell ref="P27:Q27"/>
    <mergeCell ref="B28:C28"/>
    <mergeCell ref="P28:Q28"/>
    <mergeCell ref="B29:C29"/>
    <mergeCell ref="P29:Q29"/>
    <mergeCell ref="B30:C30"/>
    <mergeCell ref="P30:Q30"/>
    <mergeCell ref="P31:Q31"/>
    <mergeCell ref="B21:C21"/>
    <mergeCell ref="P21:Q21"/>
    <mergeCell ref="B22:C22"/>
    <mergeCell ref="P22:Q22"/>
    <mergeCell ref="P23:Q23"/>
    <mergeCell ref="P24:Q24"/>
    <mergeCell ref="P25:Q25"/>
    <mergeCell ref="B26:C26"/>
    <mergeCell ref="P26:Q26"/>
    <mergeCell ref="B14:C14"/>
    <mergeCell ref="P14:Q14"/>
    <mergeCell ref="B15:C15"/>
    <mergeCell ref="P15:Q15"/>
    <mergeCell ref="P16:Q16"/>
    <mergeCell ref="P17:Q17"/>
    <mergeCell ref="P18:Q18"/>
    <mergeCell ref="P19:Q19"/>
    <mergeCell ref="B20:C20"/>
    <mergeCell ref="P20:Q20"/>
    <mergeCell ref="P7:Q7"/>
    <mergeCell ref="B8:C8"/>
    <mergeCell ref="P8:Q8"/>
    <mergeCell ref="B9:C9"/>
    <mergeCell ref="P9:Q9"/>
    <mergeCell ref="B10:C10"/>
    <mergeCell ref="P10:Q10"/>
    <mergeCell ref="B11:C11"/>
    <mergeCell ref="P11:Q11"/>
    <mergeCell ref="G6:G7"/>
    <mergeCell ref="M6:M7"/>
    <mergeCell ref="M8:M11"/>
    <mergeCell ref="A4:B4"/>
    <mergeCell ref="C4:F4"/>
    <mergeCell ref="J4:O4"/>
    <mergeCell ref="A5:B5"/>
    <mergeCell ref="C5:F5"/>
    <mergeCell ref="J5:O5"/>
    <mergeCell ref="Q5:U5"/>
    <mergeCell ref="E6:F6"/>
    <mergeCell ref="H6:K6"/>
    <mergeCell ref="P6:U6"/>
    <mergeCell ref="A6:A7"/>
    <mergeCell ref="A1:V1"/>
    <mergeCell ref="A2:B2"/>
    <mergeCell ref="C2:F2"/>
    <mergeCell ref="J2:O2"/>
    <mergeCell ref="Q2:V2"/>
    <mergeCell ref="A3:B3"/>
    <mergeCell ref="C3:F3"/>
    <mergeCell ref="J3:O3"/>
    <mergeCell ref="Q3:U3"/>
  </mergeCells>
  <phoneticPr fontId="35" type="noConversion"/>
  <hyperlinks>
    <hyperlink ref="G6:G7" location="严重度打分表!A1" display="严重度S" xr:uid="{00000000-0004-0000-0100-000000000000}"/>
    <hyperlink ref="I7" location="频率度打分表!A1" display="频度数O" xr:uid="{00000000-0004-0000-0100-000001000000}"/>
    <hyperlink ref="K7" location="探测度打分表!A1" display="不易探测度D" xr:uid="{00000000-0004-0000-0100-000002000000}"/>
  </hyperlinks>
  <printOptions horizontalCentered="1"/>
  <pageMargins left="0.156944444444444" right="0.156944444444444" top="0.75" bottom="0.59027777777777801" header="0.29861111111111099" footer="0.29861111111111099"/>
  <pageSetup paperSize="9" scale="66" fitToWidth="0" fitToHeight="0" orientation="landscape" useFirstPageNumber="1" verticalDpi="300" r:id="rId1"/>
  <headerFooter scaleWithDoc="0" alignWithMargins="0">
    <oddHeader>&amp;L&amp;G</oddHeader>
    <oddFooter>&amp;C第 &amp;P 页，共 &amp;N 页</oddFooter>
  </headerFooter>
  <rowBreaks count="9" manualBreakCount="9">
    <brk id="11" max="16383" man="1"/>
    <brk id="13" max="16383" man="1"/>
    <brk id="19" max="16383" man="1"/>
    <brk id="30" max="16383" man="1"/>
    <brk id="38" max="16383" man="1"/>
    <brk id="45" max="16383" man="1"/>
    <brk id="73" max="16383" man="1"/>
    <brk id="84" max="16383" man="1"/>
    <brk id="126" max="16383" man="1"/>
  </rowBreaks>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2:M40"/>
  <sheetViews>
    <sheetView zoomScale="70" zoomScaleNormal="70" workbookViewId="0"/>
  </sheetViews>
  <sheetFormatPr defaultColWidth="9" defaultRowHeight="15.3" x14ac:dyDescent="0.45"/>
  <cols>
    <col min="21" max="21" width="12.59765625"/>
  </cols>
  <sheetData>
    <row r="32" spans="1:13" x14ac:dyDescent="0.45">
      <c r="A32" s="241"/>
      <c r="B32" s="241"/>
      <c r="C32" s="241"/>
      <c r="D32" s="241"/>
      <c r="E32" s="241"/>
      <c r="F32" s="241"/>
      <c r="G32" s="241"/>
      <c r="H32" s="241"/>
      <c r="I32" s="241"/>
      <c r="J32" s="241"/>
      <c r="K32" s="241"/>
      <c r="L32" s="241"/>
      <c r="M32" s="241"/>
    </row>
    <row r="33" spans="1:13" x14ac:dyDescent="0.45">
      <c r="A33" s="241"/>
      <c r="B33" s="241"/>
      <c r="C33" s="241"/>
      <c r="D33" s="241"/>
      <c r="E33" s="241"/>
      <c r="F33" s="241"/>
      <c r="G33" s="241"/>
      <c r="H33" s="241"/>
      <c r="I33" s="241"/>
      <c r="J33" s="241"/>
      <c r="K33" s="241"/>
      <c r="L33" s="241"/>
      <c r="M33" s="241"/>
    </row>
    <row r="34" spans="1:13" x14ac:dyDescent="0.45">
      <c r="A34" s="241"/>
      <c r="B34" s="241"/>
      <c r="C34" s="241"/>
      <c r="D34" s="241"/>
      <c r="E34" s="241"/>
      <c r="F34" s="241"/>
      <c r="G34" s="241"/>
      <c r="H34" s="241"/>
      <c r="I34" s="241"/>
      <c r="J34" s="241"/>
      <c r="K34" s="241"/>
      <c r="L34" s="241"/>
      <c r="M34" s="241"/>
    </row>
    <row r="35" spans="1:13" x14ac:dyDescent="0.45">
      <c r="A35" s="241"/>
      <c r="B35" s="241"/>
      <c r="C35" s="241"/>
      <c r="D35" s="241"/>
      <c r="E35" s="241"/>
      <c r="F35" s="241"/>
      <c r="G35" s="241"/>
      <c r="H35" s="241"/>
      <c r="I35" s="241"/>
      <c r="J35" s="241"/>
      <c r="K35" s="241"/>
      <c r="L35" s="241"/>
      <c r="M35" s="241"/>
    </row>
    <row r="36" spans="1:13" x14ac:dyDescent="0.45">
      <c r="A36" s="241"/>
      <c r="B36" s="241"/>
      <c r="C36" s="241"/>
      <c r="D36" s="241"/>
      <c r="E36" s="241"/>
      <c r="F36" s="241"/>
      <c r="G36" s="241"/>
      <c r="H36" s="241"/>
      <c r="I36" s="241"/>
      <c r="J36" s="241"/>
      <c r="K36" s="241"/>
      <c r="L36" s="241"/>
      <c r="M36" s="241"/>
    </row>
    <row r="37" spans="1:13" x14ac:dyDescent="0.45">
      <c r="A37" s="241"/>
      <c r="B37" s="241"/>
      <c r="C37" s="241"/>
      <c r="D37" s="241"/>
      <c r="E37" s="241"/>
      <c r="F37" s="241"/>
      <c r="G37" s="241"/>
      <c r="H37" s="241"/>
      <c r="I37" s="241"/>
      <c r="J37" s="241"/>
      <c r="K37" s="241"/>
      <c r="L37" s="241"/>
      <c r="M37" s="241"/>
    </row>
    <row r="38" spans="1:13" x14ac:dyDescent="0.45">
      <c r="A38" s="241"/>
      <c r="B38" s="241"/>
      <c r="C38" s="241"/>
      <c r="D38" s="241"/>
      <c r="E38" s="241"/>
      <c r="F38" s="241"/>
      <c r="G38" s="241"/>
      <c r="H38" s="241"/>
      <c r="I38" s="241"/>
      <c r="J38" s="241"/>
      <c r="K38" s="241"/>
      <c r="L38" s="241"/>
      <c r="M38" s="241"/>
    </row>
    <row r="39" spans="1:13" x14ac:dyDescent="0.45">
      <c r="A39" s="241"/>
      <c r="B39" s="241"/>
      <c r="C39" s="241"/>
      <c r="D39" s="241"/>
      <c r="E39" s="241"/>
      <c r="F39" s="241"/>
      <c r="G39" s="241"/>
      <c r="H39" s="241"/>
      <c r="I39" s="241"/>
      <c r="J39" s="241"/>
      <c r="K39" s="241"/>
      <c r="L39" s="241"/>
      <c r="M39" s="241"/>
    </row>
    <row r="40" spans="1:13" x14ac:dyDescent="0.45">
      <c r="A40" s="241"/>
      <c r="B40" s="241"/>
      <c r="C40" s="241"/>
      <c r="D40" s="241"/>
      <c r="E40" s="241"/>
      <c r="F40" s="241"/>
      <c r="G40" s="241"/>
      <c r="H40" s="241"/>
      <c r="I40" s="241"/>
      <c r="J40" s="241"/>
      <c r="K40" s="241"/>
      <c r="L40" s="241"/>
      <c r="M40" s="241"/>
    </row>
  </sheetData>
  <mergeCells count="1">
    <mergeCell ref="A32:M40"/>
  </mergeCells>
  <phoneticPr fontId="35" type="noConversion"/>
  <pageMargins left="0.75" right="0.75" top="1" bottom="1" header="0.51" footer="0.5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6"/>
  <sheetViews>
    <sheetView zoomScaleNormal="100" workbookViewId="0"/>
  </sheetViews>
  <sheetFormatPr defaultColWidth="9" defaultRowHeight="15.3" x14ac:dyDescent="0.45"/>
  <sheetData>
    <row r="1" spans="1:1" x14ac:dyDescent="0.45">
      <c r="A1">
        <v>5</v>
      </c>
    </row>
    <row r="30" spans="1:12" x14ac:dyDescent="0.45">
      <c r="A30" s="242" t="s">
        <v>697</v>
      </c>
      <c r="B30" s="243"/>
      <c r="C30" s="243"/>
      <c r="D30" s="243"/>
      <c r="E30" s="243"/>
      <c r="F30" s="243"/>
      <c r="G30" s="243"/>
      <c r="H30" s="243"/>
      <c r="I30" s="243"/>
      <c r="J30" s="243"/>
      <c r="K30" s="243"/>
      <c r="L30" s="243"/>
    </row>
    <row r="31" spans="1:12" x14ac:dyDescent="0.45">
      <c r="A31" s="243"/>
      <c r="B31" s="243"/>
      <c r="C31" s="243"/>
      <c r="D31" s="243"/>
      <c r="E31" s="243"/>
      <c r="F31" s="243"/>
      <c r="G31" s="243"/>
      <c r="H31" s="243"/>
      <c r="I31" s="243"/>
      <c r="J31" s="243"/>
      <c r="K31" s="243"/>
      <c r="L31" s="243"/>
    </row>
    <row r="32" spans="1:12" x14ac:dyDescent="0.45">
      <c r="A32" s="243"/>
      <c r="B32" s="243"/>
      <c r="C32" s="243"/>
      <c r="D32" s="243"/>
      <c r="E32" s="243"/>
      <c r="F32" s="243"/>
      <c r="G32" s="243"/>
      <c r="H32" s="243"/>
      <c r="I32" s="243"/>
      <c r="J32" s="243"/>
      <c r="K32" s="243"/>
      <c r="L32" s="243"/>
    </row>
    <row r="33" spans="1:12" x14ac:dyDescent="0.45">
      <c r="A33" s="243"/>
      <c r="B33" s="243"/>
      <c r="C33" s="243"/>
      <c r="D33" s="243"/>
      <c r="E33" s="243"/>
      <c r="F33" s="243"/>
      <c r="G33" s="243"/>
      <c r="H33" s="243"/>
      <c r="I33" s="243"/>
      <c r="J33" s="243"/>
      <c r="K33" s="243"/>
      <c r="L33" s="243"/>
    </row>
    <row r="34" spans="1:12" x14ac:dyDescent="0.45">
      <c r="A34" s="243"/>
      <c r="B34" s="243"/>
      <c r="C34" s="243"/>
      <c r="D34" s="243"/>
      <c r="E34" s="243"/>
      <c r="F34" s="243"/>
      <c r="G34" s="243"/>
      <c r="H34" s="243"/>
      <c r="I34" s="243"/>
      <c r="J34" s="243"/>
      <c r="K34" s="243"/>
      <c r="L34" s="243"/>
    </row>
    <row r="35" spans="1:12" x14ac:dyDescent="0.45">
      <c r="A35" s="243"/>
      <c r="B35" s="243"/>
      <c r="C35" s="243"/>
      <c r="D35" s="243"/>
      <c r="E35" s="243"/>
      <c r="F35" s="243"/>
      <c r="G35" s="243"/>
      <c r="H35" s="243"/>
      <c r="I35" s="243"/>
      <c r="J35" s="243"/>
      <c r="K35" s="243"/>
      <c r="L35" s="243"/>
    </row>
    <row r="36" spans="1:12" x14ac:dyDescent="0.45">
      <c r="A36" s="243"/>
      <c r="B36" s="243"/>
      <c r="C36" s="243"/>
      <c r="D36" s="243"/>
      <c r="E36" s="243"/>
      <c r="F36" s="243"/>
      <c r="G36" s="243"/>
      <c r="H36" s="243"/>
      <c r="I36" s="243"/>
      <c r="J36" s="243"/>
      <c r="K36" s="243"/>
      <c r="L36" s="243"/>
    </row>
  </sheetData>
  <mergeCells count="1">
    <mergeCell ref="A30:L36"/>
  </mergeCells>
  <phoneticPr fontId="35" type="noConversion"/>
  <pageMargins left="0.75" right="0.75" top="1" bottom="1" header="0.51" footer="0.5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55" zoomScaleNormal="55" workbookViewId="0">
      <selection activeCell="N9" sqref="N9"/>
    </sheetView>
  </sheetViews>
  <sheetFormatPr defaultColWidth="9" defaultRowHeight="15.3" x14ac:dyDescent="0.45"/>
  <sheetData/>
  <phoneticPr fontId="35" type="noConversion"/>
  <pageMargins left="0.75" right="0.75" top="1" bottom="1" header="0.51" footer="0.51"/>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P48"/>
  <sheetViews>
    <sheetView workbookViewId="0">
      <selection activeCell="D5" sqref="D5"/>
    </sheetView>
  </sheetViews>
  <sheetFormatPr defaultColWidth="9" defaultRowHeight="15.3" x14ac:dyDescent="0.45"/>
  <cols>
    <col min="1" max="1" width="7.09765625" style="56" customWidth="1"/>
    <col min="2" max="4" width="3.59765625" style="56" customWidth="1"/>
    <col min="5" max="5" width="5" style="56" customWidth="1"/>
    <col min="6" max="6" width="5.09765625" style="57" customWidth="1"/>
    <col min="7" max="7" width="3.34765625" style="58" customWidth="1"/>
    <col min="8" max="12" width="5.84765625" style="58" customWidth="1"/>
    <col min="13" max="14" width="5.84765625" style="55" customWidth="1"/>
    <col min="15" max="224" width="9" style="55"/>
  </cols>
  <sheetData>
    <row r="1" spans="1:14" ht="45" customHeight="1" x14ac:dyDescent="0.45">
      <c r="A1" s="244" t="s">
        <v>698</v>
      </c>
      <c r="B1" s="244"/>
      <c r="C1" s="244"/>
      <c r="D1" s="244"/>
      <c r="E1" s="244"/>
      <c r="F1" s="245"/>
      <c r="G1" s="245"/>
      <c r="H1" s="245"/>
      <c r="I1" s="245"/>
      <c r="J1" s="245"/>
      <c r="K1" s="245"/>
      <c r="L1" s="245"/>
      <c r="M1" s="245"/>
      <c r="N1" s="245"/>
    </row>
    <row r="2" spans="1:14" ht="22.2" x14ac:dyDescent="0.45">
      <c r="A2" s="155" t="s">
        <v>699</v>
      </c>
      <c r="B2" s="155" t="s">
        <v>700</v>
      </c>
      <c r="C2" s="155" t="s">
        <v>701</v>
      </c>
      <c r="D2" s="155"/>
      <c r="E2" s="155"/>
      <c r="F2" s="246" t="s">
        <v>702</v>
      </c>
      <c r="G2" s="246" t="s">
        <v>703</v>
      </c>
      <c r="H2" s="7" t="s">
        <v>704</v>
      </c>
      <c r="I2" s="246" t="s">
        <v>705</v>
      </c>
      <c r="J2" s="246"/>
      <c r="K2" s="246"/>
      <c r="L2" s="246"/>
      <c r="M2" s="248" t="s">
        <v>706</v>
      </c>
      <c r="N2" s="248" t="s">
        <v>707</v>
      </c>
    </row>
    <row r="3" spans="1:14" s="55" customFormat="1" ht="11.1" x14ac:dyDescent="0.45">
      <c r="A3" s="160"/>
      <c r="B3" s="160"/>
      <c r="C3" s="160"/>
      <c r="D3" s="155"/>
      <c r="E3" s="155"/>
      <c r="F3" s="247"/>
      <c r="G3" s="246"/>
      <c r="H3" s="63" t="s">
        <v>708</v>
      </c>
      <c r="I3" s="62" t="s">
        <v>709</v>
      </c>
      <c r="J3" s="62" t="s">
        <v>710</v>
      </c>
      <c r="K3" s="62" t="s">
        <v>711</v>
      </c>
      <c r="L3" s="62" t="s">
        <v>712</v>
      </c>
      <c r="M3" s="249"/>
      <c r="N3" s="249"/>
    </row>
    <row r="4" spans="1:14" s="83" customFormat="1" ht="44.4" x14ac:dyDescent="0.45">
      <c r="A4" s="84">
        <v>42845</v>
      </c>
      <c r="B4" s="85" t="s">
        <v>713</v>
      </c>
      <c r="C4" s="85" t="s">
        <v>714</v>
      </c>
      <c r="D4" s="86" t="s">
        <v>715</v>
      </c>
      <c r="E4" s="85" t="s">
        <v>110</v>
      </c>
      <c r="F4" s="85">
        <v>5000</v>
      </c>
      <c r="G4" s="68" t="s">
        <v>38</v>
      </c>
      <c r="H4" s="68">
        <v>1</v>
      </c>
      <c r="I4" s="68"/>
      <c r="J4" s="68"/>
      <c r="K4" s="68"/>
      <c r="L4" s="68">
        <v>0</v>
      </c>
      <c r="M4" s="68">
        <f t="shared" ref="M4:M6" si="0">SUBTOTAL(109,H4:L4)</f>
        <v>1</v>
      </c>
      <c r="N4" s="69">
        <f>M4/F4</f>
        <v>2.0000000000000001E-4</v>
      </c>
    </row>
    <row r="5" spans="1:14" s="55" customFormat="1" ht="11.1" x14ac:dyDescent="0.45">
      <c r="A5" s="60"/>
      <c r="B5" s="60"/>
      <c r="C5" s="60"/>
      <c r="D5" s="60"/>
      <c r="E5" s="60" t="s">
        <v>716</v>
      </c>
      <c r="F5" s="61">
        <f t="shared" ref="F5:K5" si="1">SUBTOTAL(109,F4:F4)</f>
        <v>5000</v>
      </c>
      <c r="G5" s="68" t="s">
        <v>38</v>
      </c>
      <c r="H5" s="59">
        <v>0</v>
      </c>
      <c r="I5" s="59">
        <f t="shared" si="1"/>
        <v>0</v>
      </c>
      <c r="J5" s="59">
        <f t="shared" si="1"/>
        <v>0</v>
      </c>
      <c r="K5" s="59">
        <f t="shared" si="1"/>
        <v>0</v>
      </c>
      <c r="L5" s="59">
        <v>1</v>
      </c>
      <c r="M5" s="68">
        <f t="shared" si="0"/>
        <v>1</v>
      </c>
      <c r="N5" s="69">
        <f>M5/F5</f>
        <v>2.0000000000000001E-4</v>
      </c>
    </row>
    <row r="6" spans="1:14" s="55" customFormat="1" ht="22.2" x14ac:dyDescent="0.45">
      <c r="A6" s="64"/>
      <c r="B6" s="60"/>
      <c r="C6" s="60"/>
      <c r="D6" s="60"/>
      <c r="E6" s="70"/>
      <c r="F6" s="70" t="s">
        <v>717</v>
      </c>
      <c r="G6" s="71"/>
      <c r="H6" s="72">
        <f t="shared" ref="H6:L6" si="2">H5/$F$5</f>
        <v>0</v>
      </c>
      <c r="I6" s="72">
        <f t="shared" si="2"/>
        <v>0</v>
      </c>
      <c r="J6" s="72">
        <f t="shared" si="2"/>
        <v>0</v>
      </c>
      <c r="K6" s="72">
        <f t="shared" si="2"/>
        <v>0</v>
      </c>
      <c r="L6" s="72">
        <f t="shared" si="2"/>
        <v>2.0000000000000001E-4</v>
      </c>
      <c r="M6" s="72">
        <f t="shared" si="0"/>
        <v>2.0000000000000001E-4</v>
      </c>
      <c r="N6" s="71"/>
    </row>
    <row r="7" spans="1:14" s="55" customFormat="1" ht="11.4" x14ac:dyDescent="0.45">
      <c r="A7" s="73"/>
      <c r="B7" s="74"/>
      <c r="C7" s="74"/>
      <c r="D7" s="74"/>
      <c r="E7" s="75"/>
      <c r="F7" s="76"/>
      <c r="G7" s="58"/>
      <c r="H7" s="58"/>
      <c r="I7" s="58"/>
      <c r="J7" s="58"/>
      <c r="K7" s="58"/>
      <c r="L7" s="58"/>
      <c r="M7" s="58"/>
      <c r="N7" s="58"/>
    </row>
    <row r="8" spans="1:14" s="55" customFormat="1" ht="11.4" x14ac:dyDescent="0.45">
      <c r="A8" s="73"/>
      <c r="B8" s="77"/>
      <c r="C8" s="74"/>
      <c r="D8" s="74"/>
      <c r="E8" s="75"/>
      <c r="F8" s="76"/>
      <c r="G8" s="58"/>
      <c r="H8" s="58"/>
      <c r="I8" s="58"/>
      <c r="J8" s="58"/>
      <c r="K8" s="58"/>
      <c r="L8" s="58"/>
    </row>
    <row r="9" spans="1:14" s="55" customFormat="1" ht="11.4" x14ac:dyDescent="0.45">
      <c r="A9" s="73"/>
      <c r="B9" s="74"/>
      <c r="C9" s="74"/>
      <c r="D9" s="74"/>
      <c r="E9" s="75"/>
      <c r="F9" s="76"/>
      <c r="G9" s="58"/>
      <c r="H9" s="58"/>
      <c r="I9" s="58"/>
      <c r="J9" s="58"/>
      <c r="K9" s="58"/>
      <c r="L9" s="58"/>
    </row>
    <row r="10" spans="1:14" s="55" customFormat="1" ht="11.4" x14ac:dyDescent="0.45">
      <c r="A10" s="73"/>
      <c r="B10" s="74"/>
      <c r="C10" s="74"/>
      <c r="D10" s="76"/>
      <c r="E10" s="75"/>
      <c r="F10" s="76"/>
      <c r="G10" s="58"/>
      <c r="H10" s="58"/>
      <c r="I10" s="58"/>
      <c r="J10" s="58"/>
      <c r="K10" s="58"/>
      <c r="L10" s="58"/>
    </row>
    <row r="11" spans="1:14" s="55" customFormat="1" ht="11.4" x14ac:dyDescent="0.45">
      <c r="A11" s="73"/>
      <c r="B11" s="74"/>
      <c r="C11" s="76"/>
      <c r="D11" s="74"/>
      <c r="E11" s="75"/>
      <c r="F11" s="76"/>
      <c r="G11" s="58"/>
      <c r="H11" s="58"/>
      <c r="I11" s="58"/>
      <c r="J11" s="58"/>
      <c r="K11" s="58"/>
      <c r="L11" s="58"/>
    </row>
    <row r="12" spans="1:14" s="55" customFormat="1" ht="11.4" x14ac:dyDescent="0.45">
      <c r="A12" s="73"/>
      <c r="B12" s="76"/>
      <c r="C12" s="76"/>
      <c r="D12" s="76"/>
      <c r="E12" s="75"/>
      <c r="F12" s="76"/>
      <c r="G12" s="58"/>
      <c r="H12" s="58"/>
      <c r="I12" s="58"/>
      <c r="J12" s="58"/>
      <c r="K12" s="58"/>
      <c r="L12" s="58"/>
    </row>
    <row r="13" spans="1:14" s="55" customFormat="1" ht="11.4" x14ac:dyDescent="0.45">
      <c r="A13" s="73"/>
      <c r="B13" s="74"/>
      <c r="C13" s="74"/>
      <c r="D13" s="74"/>
      <c r="E13" s="75"/>
      <c r="F13" s="76"/>
      <c r="G13" s="58"/>
      <c r="H13" s="58"/>
      <c r="I13" s="58"/>
      <c r="J13" s="58"/>
      <c r="K13" s="58"/>
      <c r="L13" s="58"/>
    </row>
    <row r="14" spans="1:14" s="55" customFormat="1" ht="11.4" x14ac:dyDescent="0.45">
      <c r="A14" s="73"/>
      <c r="B14" s="74"/>
      <c r="C14" s="76"/>
      <c r="D14" s="74"/>
      <c r="E14" s="75"/>
      <c r="F14" s="76"/>
      <c r="G14" s="58"/>
      <c r="H14" s="58"/>
      <c r="I14" s="58"/>
      <c r="J14" s="58"/>
      <c r="K14" s="58"/>
      <c r="L14" s="58"/>
    </row>
    <row r="15" spans="1:14" s="55" customFormat="1" ht="11.4" x14ac:dyDescent="0.45">
      <c r="A15" s="73"/>
      <c r="B15" s="74"/>
      <c r="C15" s="76"/>
      <c r="D15" s="74"/>
      <c r="E15" s="75"/>
      <c r="F15" s="76"/>
      <c r="G15" s="58"/>
      <c r="H15" s="78"/>
      <c r="I15" s="78"/>
      <c r="J15" s="78"/>
      <c r="K15" s="78"/>
      <c r="L15" s="78"/>
    </row>
    <row r="16" spans="1:14" s="55" customFormat="1" x14ac:dyDescent="0.45">
      <c r="A16" s="56"/>
      <c r="B16" s="56"/>
      <c r="C16" s="56"/>
      <c r="D16" s="56"/>
      <c r="E16" s="56"/>
      <c r="F16" s="57"/>
      <c r="G16" s="58"/>
      <c r="H16" s="58"/>
      <c r="I16" s="1"/>
      <c r="J16" s="1"/>
      <c r="K16" s="1"/>
      <c r="L16" s="1"/>
    </row>
    <row r="17" spans="1:12" s="55" customFormat="1" ht="12" customHeight="1" x14ac:dyDescent="0.45">
      <c r="A17" s="56"/>
      <c r="B17" s="56"/>
      <c r="C17" s="56"/>
      <c r="D17" s="56"/>
      <c r="E17" s="56"/>
      <c r="F17" s="57"/>
      <c r="G17" s="58"/>
      <c r="H17" s="80"/>
      <c r="I17" s="79"/>
      <c r="J17" s="82"/>
      <c r="K17" s="82"/>
      <c r="L17" s="82"/>
    </row>
    <row r="18" spans="1:12" s="55" customFormat="1" x14ac:dyDescent="0.45">
      <c r="A18" s="56"/>
      <c r="B18" s="56"/>
      <c r="C18" s="56"/>
      <c r="D18" s="56"/>
      <c r="E18" s="56"/>
      <c r="F18" s="57"/>
      <c r="G18" s="58"/>
      <c r="H18" s="1"/>
      <c r="I18" s="1"/>
      <c r="J18" s="1"/>
      <c r="K18" s="1"/>
      <c r="L18" s="1"/>
    </row>
    <row r="19" spans="1:12" s="55" customFormat="1" x14ac:dyDescent="0.45">
      <c r="A19" s="56"/>
      <c r="B19" s="56"/>
      <c r="C19" s="56"/>
      <c r="D19" s="56"/>
      <c r="E19" s="56"/>
      <c r="F19" s="57"/>
      <c r="G19" s="58"/>
      <c r="H19" s="1"/>
      <c r="I19" s="1"/>
      <c r="J19" s="1"/>
      <c r="K19" s="1"/>
      <c r="L19" s="1"/>
    </row>
    <row r="20" spans="1:12" s="55" customFormat="1" x14ac:dyDescent="0.45">
      <c r="A20" s="56"/>
      <c r="B20" s="56"/>
      <c r="C20" s="56"/>
      <c r="D20" s="56"/>
      <c r="E20" s="56"/>
      <c r="F20" s="57"/>
      <c r="G20" s="58"/>
      <c r="H20" s="1"/>
      <c r="I20" s="1"/>
      <c r="J20" s="1"/>
      <c r="K20" s="1"/>
      <c r="L20" s="1"/>
    </row>
    <row r="21" spans="1:12" s="55" customFormat="1" x14ac:dyDescent="0.45">
      <c r="A21" s="56"/>
      <c r="B21" s="56"/>
      <c r="C21" s="56"/>
      <c r="D21" s="56"/>
      <c r="E21" s="56"/>
      <c r="F21" s="57"/>
      <c r="G21" s="58"/>
      <c r="H21" s="1"/>
      <c r="I21" s="1"/>
      <c r="J21" s="1"/>
      <c r="K21" s="1"/>
      <c r="L21" s="1"/>
    </row>
    <row r="22" spans="1:12" s="55" customFormat="1" x14ac:dyDescent="0.45">
      <c r="A22" s="56"/>
      <c r="B22" s="56"/>
      <c r="C22" s="56"/>
      <c r="D22" s="56"/>
      <c r="E22" s="56"/>
      <c r="F22" s="57"/>
      <c r="G22" s="58"/>
      <c r="H22" s="1"/>
      <c r="I22" s="1"/>
      <c r="J22" s="1"/>
      <c r="K22" s="1"/>
      <c r="L22" s="1"/>
    </row>
    <row r="23" spans="1:12" s="55" customFormat="1" x14ac:dyDescent="0.45">
      <c r="A23" s="56"/>
      <c r="B23" s="56"/>
      <c r="C23" s="56"/>
      <c r="D23" s="56"/>
      <c r="E23" s="56"/>
      <c r="F23" s="57"/>
      <c r="G23" s="58"/>
      <c r="H23" s="1"/>
      <c r="I23" s="1"/>
      <c r="J23" s="1"/>
      <c r="K23" s="1"/>
      <c r="L23" s="1"/>
    </row>
    <row r="24" spans="1:12" s="55" customFormat="1" x14ac:dyDescent="0.45">
      <c r="A24" s="56"/>
      <c r="B24" s="56"/>
      <c r="C24" s="56"/>
      <c r="D24" s="56"/>
      <c r="E24" s="56"/>
      <c r="F24" s="57"/>
      <c r="G24" s="58"/>
      <c r="H24" s="1"/>
      <c r="I24" s="1"/>
      <c r="J24" s="1"/>
      <c r="K24" s="1"/>
      <c r="L24" s="1"/>
    </row>
    <row r="25" spans="1:12" s="55" customFormat="1" ht="11.1" x14ac:dyDescent="0.45">
      <c r="A25" s="56"/>
      <c r="B25" s="56"/>
      <c r="C25" s="56"/>
      <c r="D25" s="56"/>
      <c r="E25" s="56"/>
      <c r="F25" s="57"/>
      <c r="G25" s="58"/>
      <c r="H25" s="58"/>
      <c r="I25" s="58"/>
      <c r="J25" s="58"/>
      <c r="K25" s="58"/>
      <c r="L25" s="58"/>
    </row>
    <row r="26" spans="1:12" s="55" customFormat="1" ht="11.1" x14ac:dyDescent="0.45">
      <c r="A26" s="56"/>
      <c r="B26" s="56"/>
      <c r="C26" s="56"/>
      <c r="D26" s="56"/>
      <c r="E26" s="56"/>
      <c r="F26" s="57"/>
      <c r="G26" s="58"/>
      <c r="H26" s="58"/>
      <c r="I26" s="58"/>
      <c r="J26" s="58"/>
      <c r="K26" s="58"/>
      <c r="L26" s="58"/>
    </row>
    <row r="27" spans="1:12" s="55" customFormat="1" ht="11.1" x14ac:dyDescent="0.45">
      <c r="A27" s="56"/>
      <c r="B27" s="56"/>
      <c r="C27" s="56"/>
      <c r="D27" s="56"/>
      <c r="E27" s="56"/>
      <c r="F27" s="57"/>
      <c r="G27" s="58"/>
      <c r="H27" s="58"/>
      <c r="I27" s="58"/>
      <c r="J27" s="58"/>
      <c r="K27" s="58"/>
      <c r="L27" s="58"/>
    </row>
    <row r="28" spans="1:12" s="55" customFormat="1" x14ac:dyDescent="0.45">
      <c r="A28" s="56"/>
      <c r="B28" s="56"/>
      <c r="C28" s="56"/>
      <c r="D28" s="56"/>
      <c r="E28" s="56"/>
      <c r="F28" s="57"/>
      <c r="G28" s="58"/>
      <c r="H28" s="1"/>
      <c r="I28" s="1"/>
      <c r="J28" s="1"/>
      <c r="K28" s="1"/>
      <c r="L28" s="1"/>
    </row>
    <row r="29" spans="1:12" s="55" customFormat="1" x14ac:dyDescent="0.45">
      <c r="A29" s="56"/>
      <c r="B29" s="56"/>
      <c r="C29" s="56"/>
      <c r="D29" s="56"/>
      <c r="E29" s="56"/>
      <c r="F29" s="57"/>
      <c r="G29" s="58"/>
      <c r="H29" s="1"/>
      <c r="I29" s="1"/>
      <c r="J29" s="1"/>
      <c r="K29" s="1"/>
      <c r="L29" s="1"/>
    </row>
    <row r="30" spans="1:12" s="55" customFormat="1" x14ac:dyDescent="0.45">
      <c r="A30" s="56"/>
      <c r="B30" s="56"/>
      <c r="C30" s="56"/>
      <c r="D30" s="56"/>
      <c r="E30" s="56"/>
      <c r="F30" s="57"/>
      <c r="G30" s="58"/>
      <c r="H30" s="1"/>
      <c r="I30" s="1"/>
      <c r="J30" s="1"/>
      <c r="K30" s="1"/>
      <c r="L30" s="1"/>
    </row>
    <row r="31" spans="1:12" s="55" customFormat="1" x14ac:dyDescent="0.45">
      <c r="A31" s="56"/>
      <c r="B31" s="56"/>
      <c r="C31" s="56"/>
      <c r="D31" s="56"/>
      <c r="E31" s="56"/>
      <c r="F31" s="57"/>
      <c r="G31" s="58"/>
      <c r="H31" s="1"/>
      <c r="I31" s="1"/>
      <c r="J31" s="1"/>
      <c r="K31" s="1"/>
      <c r="L31" s="1"/>
    </row>
    <row r="32" spans="1:12" s="55" customFormat="1" x14ac:dyDescent="0.45">
      <c r="A32" s="56"/>
      <c r="B32" s="56"/>
      <c r="C32" s="56"/>
      <c r="D32" s="56"/>
      <c r="E32" s="56"/>
      <c r="F32" s="57"/>
      <c r="G32" s="58"/>
      <c r="H32" s="1"/>
      <c r="I32" s="1"/>
      <c r="J32" s="1"/>
      <c r="K32" s="1"/>
      <c r="L32" s="1"/>
    </row>
    <row r="33" spans="1:12" s="55" customFormat="1" ht="11.1" x14ac:dyDescent="0.45">
      <c r="A33" s="56"/>
      <c r="B33" s="56"/>
      <c r="C33" s="56"/>
      <c r="D33" s="56"/>
      <c r="E33" s="56"/>
      <c r="F33" s="57"/>
      <c r="G33" s="58"/>
      <c r="H33" s="58"/>
      <c r="I33" s="58"/>
      <c r="J33" s="58"/>
      <c r="K33" s="58"/>
      <c r="L33" s="58"/>
    </row>
    <row r="34" spans="1:12" s="55" customFormat="1" ht="11.1" x14ac:dyDescent="0.45">
      <c r="A34" s="56"/>
      <c r="B34" s="56"/>
      <c r="C34" s="56"/>
      <c r="D34" s="56"/>
      <c r="E34" s="56"/>
      <c r="F34" s="57"/>
      <c r="G34" s="58"/>
      <c r="H34" s="58"/>
      <c r="I34" s="58"/>
      <c r="J34" s="58"/>
      <c r="K34" s="58"/>
      <c r="L34" s="58"/>
    </row>
    <row r="35" spans="1:12" s="55" customFormat="1" ht="11.1" x14ac:dyDescent="0.45">
      <c r="A35" s="56"/>
      <c r="B35" s="56"/>
      <c r="C35" s="56"/>
      <c r="D35" s="56"/>
      <c r="E35" s="56"/>
      <c r="F35" s="57"/>
      <c r="G35" s="58"/>
      <c r="H35" s="58"/>
      <c r="I35" s="58"/>
      <c r="J35" s="58"/>
      <c r="K35" s="58"/>
      <c r="L35" s="58"/>
    </row>
    <row r="36" spans="1:12" s="55" customFormat="1" ht="11.1" x14ac:dyDescent="0.45">
      <c r="A36" s="56"/>
      <c r="B36" s="56"/>
      <c r="C36" s="56"/>
      <c r="D36" s="56"/>
      <c r="E36" s="56"/>
      <c r="F36" s="57"/>
      <c r="G36" s="58"/>
      <c r="H36" s="58"/>
      <c r="I36" s="58"/>
      <c r="J36" s="58"/>
      <c r="K36" s="58"/>
      <c r="L36" s="58"/>
    </row>
    <row r="37" spans="1:12" s="55" customFormat="1" ht="11.1" x14ac:dyDescent="0.45">
      <c r="A37" s="56"/>
      <c r="B37" s="56"/>
      <c r="C37" s="56"/>
      <c r="D37" s="56"/>
      <c r="E37" s="56"/>
      <c r="F37" s="57"/>
      <c r="G37" s="58"/>
      <c r="H37" s="58"/>
      <c r="I37" s="58"/>
      <c r="J37" s="58"/>
      <c r="K37" s="58"/>
      <c r="L37" s="58"/>
    </row>
    <row r="38" spans="1:12" s="55" customFormat="1" ht="11.1" x14ac:dyDescent="0.45">
      <c r="A38" s="56"/>
      <c r="B38" s="56"/>
      <c r="C38" s="56"/>
      <c r="D38" s="56"/>
      <c r="E38" s="56"/>
      <c r="F38" s="57"/>
      <c r="G38" s="58"/>
      <c r="H38" s="58"/>
      <c r="I38" s="58"/>
      <c r="J38" s="58"/>
      <c r="K38" s="58"/>
      <c r="L38" s="58"/>
    </row>
    <row r="39" spans="1:12" s="55" customFormat="1" ht="11.1" x14ac:dyDescent="0.45">
      <c r="A39" s="56"/>
      <c r="B39" s="56"/>
      <c r="C39" s="56"/>
      <c r="D39" s="56"/>
      <c r="E39" s="56"/>
      <c r="F39" s="57"/>
      <c r="G39" s="58"/>
      <c r="H39" s="58"/>
      <c r="I39" s="58"/>
      <c r="J39" s="58"/>
      <c r="K39" s="58"/>
      <c r="L39" s="58"/>
    </row>
    <row r="40" spans="1:12" s="55" customFormat="1" ht="11.1" x14ac:dyDescent="0.45">
      <c r="A40" s="56"/>
      <c r="B40" s="56"/>
      <c r="C40" s="56"/>
      <c r="D40" s="56"/>
      <c r="E40" s="56"/>
      <c r="F40" s="57"/>
      <c r="G40" s="58"/>
      <c r="H40" s="58"/>
      <c r="I40" s="58"/>
      <c r="J40" s="58"/>
      <c r="K40" s="58"/>
      <c r="L40" s="58"/>
    </row>
    <row r="41" spans="1:12" s="55" customFormat="1" ht="11.1" x14ac:dyDescent="0.45">
      <c r="A41" s="56"/>
      <c r="B41" s="56"/>
      <c r="C41" s="56"/>
      <c r="D41" s="56"/>
      <c r="E41" s="56"/>
      <c r="F41" s="57"/>
      <c r="G41" s="58"/>
      <c r="H41" s="58"/>
      <c r="I41" s="58"/>
      <c r="J41" s="58"/>
      <c r="K41" s="58"/>
      <c r="L41" s="58"/>
    </row>
    <row r="42" spans="1:12" s="55" customFormat="1" ht="11.1" x14ac:dyDescent="0.45">
      <c r="A42" s="56"/>
      <c r="B42" s="56"/>
      <c r="C42" s="56"/>
      <c r="D42" s="56"/>
      <c r="E42" s="56"/>
      <c r="F42" s="57"/>
      <c r="G42" s="58"/>
      <c r="H42" s="58"/>
      <c r="I42" s="58"/>
      <c r="J42" s="58"/>
      <c r="K42" s="58"/>
      <c r="L42" s="58"/>
    </row>
    <row r="43" spans="1:12" s="55" customFormat="1" ht="11.1" x14ac:dyDescent="0.45">
      <c r="A43" s="56"/>
      <c r="B43" s="56"/>
      <c r="C43" s="56"/>
      <c r="D43" s="56"/>
      <c r="E43" s="56"/>
      <c r="F43" s="57"/>
      <c r="G43" s="58"/>
      <c r="H43" s="58"/>
      <c r="I43" s="58"/>
      <c r="J43" s="58"/>
      <c r="K43" s="58"/>
      <c r="L43" s="58"/>
    </row>
    <row r="44" spans="1:12" s="55" customFormat="1" ht="11.1" x14ac:dyDescent="0.45">
      <c r="A44" s="56"/>
      <c r="B44" s="56"/>
      <c r="C44" s="56"/>
      <c r="D44" s="56"/>
      <c r="E44" s="56"/>
      <c r="F44" s="57"/>
      <c r="G44" s="58"/>
      <c r="H44" s="58"/>
      <c r="I44" s="58"/>
      <c r="J44" s="58"/>
      <c r="K44" s="58"/>
      <c r="L44" s="58"/>
    </row>
    <row r="45" spans="1:12" s="55" customFormat="1" ht="11.1" x14ac:dyDescent="0.45">
      <c r="A45" s="56"/>
      <c r="B45" s="56"/>
      <c r="C45" s="56"/>
      <c r="D45" s="56"/>
      <c r="E45" s="56"/>
      <c r="F45" s="57"/>
      <c r="G45" s="58"/>
      <c r="H45" s="58"/>
      <c r="I45" s="58"/>
      <c r="J45" s="58"/>
      <c r="K45" s="58"/>
      <c r="L45" s="58"/>
    </row>
    <row r="46" spans="1:12" s="55" customFormat="1" ht="11.1" x14ac:dyDescent="0.45">
      <c r="A46" s="56"/>
      <c r="B46" s="56"/>
      <c r="C46" s="56"/>
      <c r="D46" s="56"/>
      <c r="E46" s="56"/>
      <c r="F46" s="57"/>
      <c r="G46" s="58"/>
      <c r="H46" s="58"/>
      <c r="I46" s="58"/>
      <c r="J46" s="58"/>
      <c r="K46" s="58"/>
      <c r="L46" s="58"/>
    </row>
    <row r="47" spans="1:12" s="55" customFormat="1" ht="11.1" x14ac:dyDescent="0.45">
      <c r="A47" s="56"/>
      <c r="B47" s="56"/>
      <c r="C47" s="56"/>
      <c r="D47" s="56"/>
      <c r="E47" s="56"/>
      <c r="F47" s="57"/>
      <c r="G47" s="58"/>
      <c r="H47" s="58"/>
      <c r="I47" s="58"/>
      <c r="J47" s="58"/>
      <c r="K47" s="58"/>
      <c r="L47" s="58"/>
    </row>
    <row r="48" spans="1:12" s="55" customFormat="1" ht="11.1" x14ac:dyDescent="0.45">
      <c r="A48" s="56"/>
      <c r="B48" s="56"/>
      <c r="C48" s="56"/>
      <c r="D48" s="56"/>
      <c r="E48" s="56"/>
      <c r="F48" s="57"/>
      <c r="G48" s="58"/>
      <c r="H48" s="58"/>
      <c r="I48" s="58"/>
      <c r="J48" s="58"/>
      <c r="K48" s="58"/>
      <c r="L48" s="58"/>
    </row>
  </sheetData>
  <mergeCells count="11">
    <mergeCell ref="A1:N1"/>
    <mergeCell ref="I2:L2"/>
    <mergeCell ref="A2:A3"/>
    <mergeCell ref="B2:B3"/>
    <mergeCell ref="C2:C3"/>
    <mergeCell ref="D2:D3"/>
    <mergeCell ref="E2:E3"/>
    <mergeCell ref="F2:F3"/>
    <mergeCell ref="G2:G3"/>
    <mergeCell ref="M2:M3"/>
    <mergeCell ref="N2:N3"/>
  </mergeCells>
  <phoneticPr fontId="35" type="noConversion"/>
  <pageMargins left="0.75" right="0.75" top="1" bottom="1" header="0.51" footer="0.51"/>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C48"/>
  <sheetViews>
    <sheetView workbookViewId="0">
      <selection activeCell="F32" sqref="F32"/>
    </sheetView>
  </sheetViews>
  <sheetFormatPr defaultColWidth="9" defaultRowHeight="15.3" x14ac:dyDescent="0.45"/>
  <cols>
    <col min="1" max="1" width="7.09765625" style="56" customWidth="1"/>
    <col min="2" max="4" width="3.59765625" style="56" customWidth="1"/>
    <col min="5" max="5" width="5" style="56" customWidth="1"/>
    <col min="6" max="6" width="5.09765625" style="57" customWidth="1"/>
    <col min="7" max="7" width="3.34765625" style="58" customWidth="1"/>
    <col min="8" max="25" width="5.84765625" style="58" customWidth="1"/>
    <col min="26" max="27" width="5.84765625" style="55" customWidth="1"/>
    <col min="28" max="237" width="9" style="55"/>
  </cols>
  <sheetData>
    <row r="1" spans="1:27" ht="45" customHeight="1" x14ac:dyDescent="0.45">
      <c r="A1" s="244" t="s">
        <v>698</v>
      </c>
      <c r="B1" s="244"/>
      <c r="C1" s="244"/>
      <c r="D1" s="244"/>
      <c r="E1" s="244"/>
      <c r="F1" s="245"/>
      <c r="G1" s="245"/>
      <c r="H1" s="245"/>
      <c r="I1" s="245"/>
      <c r="J1" s="245"/>
      <c r="K1" s="245"/>
      <c r="L1" s="245"/>
      <c r="M1" s="245"/>
      <c r="N1" s="245"/>
      <c r="O1" s="245"/>
      <c r="P1" s="245"/>
      <c r="Q1" s="245"/>
      <c r="R1" s="245"/>
      <c r="S1" s="245"/>
      <c r="T1" s="245"/>
      <c r="U1" s="245"/>
      <c r="V1" s="245"/>
      <c r="W1" s="245"/>
      <c r="X1" s="245"/>
      <c r="Y1" s="245"/>
      <c r="Z1" s="245"/>
      <c r="AA1" s="245"/>
    </row>
    <row r="2" spans="1:27" x14ac:dyDescent="0.45">
      <c r="A2" s="155" t="s">
        <v>699</v>
      </c>
      <c r="B2" s="155" t="s">
        <v>700</v>
      </c>
      <c r="C2" s="155" t="s">
        <v>701</v>
      </c>
      <c r="D2" s="155"/>
      <c r="E2" s="155"/>
      <c r="F2" s="246" t="s">
        <v>702</v>
      </c>
      <c r="G2" s="246" t="s">
        <v>703</v>
      </c>
      <c r="H2" s="246" t="s">
        <v>718</v>
      </c>
      <c r="I2" s="246"/>
      <c r="J2" s="246"/>
      <c r="K2" s="246"/>
      <c r="L2" s="246"/>
      <c r="M2" s="246"/>
      <c r="N2" s="246"/>
      <c r="O2" s="246"/>
      <c r="P2" s="246"/>
      <c r="Q2" s="246"/>
      <c r="R2" s="246"/>
      <c r="S2" s="246"/>
      <c r="T2" s="246" t="s">
        <v>719</v>
      </c>
      <c r="U2" s="246"/>
      <c r="V2" s="246" t="s">
        <v>705</v>
      </c>
      <c r="W2" s="246"/>
      <c r="X2" s="246"/>
      <c r="Y2" s="246"/>
      <c r="Z2" s="248" t="s">
        <v>706</v>
      </c>
      <c r="AA2" s="248" t="s">
        <v>707</v>
      </c>
    </row>
    <row r="3" spans="1:27" s="55" customFormat="1" ht="22.2" x14ac:dyDescent="0.45">
      <c r="A3" s="160"/>
      <c r="B3" s="160"/>
      <c r="C3" s="160"/>
      <c r="D3" s="155"/>
      <c r="E3" s="155"/>
      <c r="F3" s="247"/>
      <c r="G3" s="246"/>
      <c r="H3" s="62" t="s">
        <v>720</v>
      </c>
      <c r="I3" s="62" t="s">
        <v>721</v>
      </c>
      <c r="J3" s="62" t="s">
        <v>722</v>
      </c>
      <c r="K3" s="62" t="s">
        <v>723</v>
      </c>
      <c r="L3" s="62" t="s">
        <v>724</v>
      </c>
      <c r="M3" s="62" t="s">
        <v>725</v>
      </c>
      <c r="N3" s="62" t="s">
        <v>726</v>
      </c>
      <c r="O3" s="62" t="s">
        <v>727</v>
      </c>
      <c r="P3" s="62" t="s">
        <v>728</v>
      </c>
      <c r="Q3" s="62" t="s">
        <v>708</v>
      </c>
      <c r="R3" s="63" t="s">
        <v>729</v>
      </c>
      <c r="S3" s="63" t="s">
        <v>730</v>
      </c>
      <c r="T3" s="63" t="s">
        <v>708</v>
      </c>
      <c r="U3" s="63" t="s">
        <v>731</v>
      </c>
      <c r="V3" s="62" t="s">
        <v>709</v>
      </c>
      <c r="W3" s="62" t="s">
        <v>710</v>
      </c>
      <c r="X3" s="62" t="s">
        <v>711</v>
      </c>
      <c r="Y3" s="62" t="s">
        <v>712</v>
      </c>
      <c r="Z3" s="249"/>
      <c r="AA3" s="249"/>
    </row>
    <row r="4" spans="1:27" s="55" customFormat="1" ht="44.4" x14ac:dyDescent="0.45">
      <c r="A4" s="64">
        <v>42845</v>
      </c>
      <c r="B4" s="65" t="s">
        <v>713</v>
      </c>
      <c r="C4" s="65" t="s">
        <v>714</v>
      </c>
      <c r="D4" s="66" t="s">
        <v>715</v>
      </c>
      <c r="E4" s="65" t="s">
        <v>110</v>
      </c>
      <c r="F4" s="65">
        <v>5000</v>
      </c>
      <c r="G4" s="59" t="s">
        <v>38</v>
      </c>
      <c r="H4" s="59">
        <v>1</v>
      </c>
      <c r="I4" s="59">
        <v>1</v>
      </c>
      <c r="J4" s="59">
        <v>1</v>
      </c>
      <c r="K4" s="59"/>
      <c r="L4" s="59"/>
      <c r="M4" s="59">
        <v>2</v>
      </c>
      <c r="N4" s="59"/>
      <c r="O4" s="59">
        <v>1</v>
      </c>
      <c r="P4" s="59"/>
      <c r="Q4" s="59"/>
      <c r="R4" s="59"/>
      <c r="S4" s="59">
        <v>2</v>
      </c>
      <c r="T4" s="59"/>
      <c r="U4" s="59"/>
      <c r="V4" s="59"/>
      <c r="W4" s="59"/>
      <c r="X4" s="59"/>
      <c r="Y4" s="59">
        <v>1</v>
      </c>
      <c r="Z4" s="59">
        <f t="shared" ref="Z4:Z6" si="0">SUBTOTAL(109,H4:Y4)</f>
        <v>9</v>
      </c>
      <c r="AA4" s="67">
        <f>Z4/F4</f>
        <v>1.8E-3</v>
      </c>
    </row>
    <row r="5" spans="1:27" s="55" customFormat="1" ht="11.1" x14ac:dyDescent="0.45">
      <c r="A5" s="60"/>
      <c r="B5" s="60"/>
      <c r="C5" s="60"/>
      <c r="D5" s="60"/>
      <c r="E5" s="60" t="s">
        <v>716</v>
      </c>
      <c r="F5" s="61">
        <f>SUBTOTAL(109,F4:F4)</f>
        <v>5000</v>
      </c>
      <c r="G5" s="68" t="s">
        <v>38</v>
      </c>
      <c r="H5" s="59">
        <v>1</v>
      </c>
      <c r="I5" s="59">
        <v>1</v>
      </c>
      <c r="J5" s="59">
        <v>1</v>
      </c>
      <c r="K5" s="59">
        <f t="shared" ref="K5:N5" si="1">SUBTOTAL(109,K4:K4)</f>
        <v>0</v>
      </c>
      <c r="L5" s="59">
        <f t="shared" si="1"/>
        <v>0</v>
      </c>
      <c r="M5" s="59">
        <v>2</v>
      </c>
      <c r="N5" s="59">
        <f t="shared" si="1"/>
        <v>0</v>
      </c>
      <c r="O5" s="59">
        <v>1</v>
      </c>
      <c r="P5" s="59">
        <f>SUBTOTAL(109,P4:P4)</f>
        <v>0</v>
      </c>
      <c r="Q5" s="59">
        <v>0</v>
      </c>
      <c r="R5" s="59">
        <v>0</v>
      </c>
      <c r="S5" s="59">
        <v>2</v>
      </c>
      <c r="T5" s="59">
        <v>0</v>
      </c>
      <c r="U5" s="59">
        <v>0</v>
      </c>
      <c r="V5" s="59">
        <f t="shared" ref="V5:X5" si="2">SUBTOTAL(109,V4:V4)</f>
        <v>0</v>
      </c>
      <c r="W5" s="59">
        <f t="shared" si="2"/>
        <v>0</v>
      </c>
      <c r="X5" s="59">
        <f t="shared" si="2"/>
        <v>0</v>
      </c>
      <c r="Y5" s="59">
        <v>1</v>
      </c>
      <c r="Z5" s="68">
        <f t="shared" si="0"/>
        <v>9</v>
      </c>
      <c r="AA5" s="69">
        <f>Z5/F5</f>
        <v>1.8E-3</v>
      </c>
    </row>
    <row r="6" spans="1:27" s="55" customFormat="1" ht="22.2" x14ac:dyDescent="0.45">
      <c r="A6" s="64"/>
      <c r="B6" s="60"/>
      <c r="C6" s="60"/>
      <c r="D6" s="60"/>
      <c r="E6" s="70"/>
      <c r="F6" s="70" t="s">
        <v>717</v>
      </c>
      <c r="G6" s="71"/>
      <c r="H6" s="72">
        <f t="shared" ref="H6:J6" si="3">H5/$F$5</f>
        <v>2.0000000000000001E-4</v>
      </c>
      <c r="I6" s="72">
        <f t="shared" si="3"/>
        <v>2.0000000000000001E-4</v>
      </c>
      <c r="J6" s="72">
        <f t="shared" si="3"/>
        <v>2.0000000000000001E-4</v>
      </c>
      <c r="K6" s="72">
        <f t="shared" ref="K6:Y6" si="4">K5/$F$5</f>
        <v>0</v>
      </c>
      <c r="L6" s="72">
        <f t="shared" si="4"/>
        <v>0</v>
      </c>
      <c r="M6" s="72">
        <f t="shared" si="4"/>
        <v>4.0000000000000002E-4</v>
      </c>
      <c r="N6" s="72">
        <f t="shared" si="4"/>
        <v>0</v>
      </c>
      <c r="O6" s="72">
        <f t="shared" si="4"/>
        <v>2.0000000000000001E-4</v>
      </c>
      <c r="P6" s="72">
        <f t="shared" si="4"/>
        <v>0</v>
      </c>
      <c r="Q6" s="72">
        <f t="shared" si="4"/>
        <v>0</v>
      </c>
      <c r="R6" s="72">
        <f t="shared" si="4"/>
        <v>0</v>
      </c>
      <c r="S6" s="72">
        <f t="shared" si="4"/>
        <v>4.0000000000000002E-4</v>
      </c>
      <c r="T6" s="72">
        <f t="shared" si="4"/>
        <v>0</v>
      </c>
      <c r="U6" s="72">
        <f t="shared" si="4"/>
        <v>0</v>
      </c>
      <c r="V6" s="72">
        <f t="shared" si="4"/>
        <v>0</v>
      </c>
      <c r="W6" s="72">
        <f t="shared" si="4"/>
        <v>0</v>
      </c>
      <c r="X6" s="72">
        <f t="shared" si="4"/>
        <v>0</v>
      </c>
      <c r="Y6" s="72">
        <f t="shared" si="4"/>
        <v>2.0000000000000001E-4</v>
      </c>
      <c r="Z6" s="72">
        <f t="shared" si="0"/>
        <v>1.8000000000000002E-3</v>
      </c>
      <c r="AA6" s="71"/>
    </row>
    <row r="7" spans="1:27" s="55" customFormat="1" x14ac:dyDescent="0.45">
      <c r="A7" s="73"/>
      <c r="B7" s="74"/>
      <c r="C7" s="74"/>
      <c r="D7" s="74"/>
      <c r="E7" s="75"/>
      <c r="F7" s="76"/>
      <c r="G7" s="58"/>
      <c r="H7" s="1"/>
      <c r="I7" s="1"/>
      <c r="J7" s="1"/>
      <c r="K7" s="1"/>
      <c r="L7" s="1"/>
      <c r="M7" s="1"/>
      <c r="N7" s="1"/>
      <c r="O7" s="1"/>
      <c r="P7" s="58"/>
      <c r="Q7" s="58"/>
      <c r="R7" s="58"/>
      <c r="S7" s="58"/>
      <c r="T7" s="58"/>
      <c r="U7" s="58"/>
      <c r="V7" s="58"/>
      <c r="W7" s="58"/>
      <c r="X7" s="58"/>
      <c r="Y7" s="58"/>
      <c r="Z7" s="58"/>
      <c r="AA7" s="58"/>
    </row>
    <row r="8" spans="1:27" s="55" customFormat="1" x14ac:dyDescent="0.45">
      <c r="A8" s="73"/>
      <c r="B8" s="77"/>
      <c r="C8" s="74"/>
      <c r="D8" s="74"/>
      <c r="E8" s="75"/>
      <c r="F8" s="76"/>
      <c r="G8" s="58"/>
      <c r="H8" s="1"/>
      <c r="I8" s="1"/>
      <c r="J8" s="1"/>
      <c r="K8" s="1"/>
      <c r="L8" s="1"/>
      <c r="M8" s="1"/>
      <c r="N8" s="1"/>
      <c r="O8" s="1"/>
      <c r="P8" s="58"/>
      <c r="Q8" s="58"/>
      <c r="R8" s="58"/>
      <c r="S8" s="58"/>
      <c r="T8" s="58"/>
      <c r="U8" s="58"/>
      <c r="V8" s="58"/>
      <c r="W8" s="58"/>
      <c r="X8" s="58"/>
      <c r="Y8" s="58"/>
    </row>
    <row r="9" spans="1:27" s="55" customFormat="1" x14ac:dyDescent="0.45">
      <c r="A9" s="73"/>
      <c r="B9" s="74"/>
      <c r="C9" s="74"/>
      <c r="D9" s="74"/>
      <c r="E9" s="75"/>
      <c r="F9" s="76"/>
      <c r="G9" s="58"/>
      <c r="H9" s="1"/>
      <c r="I9" s="1"/>
      <c r="J9" s="1"/>
      <c r="K9" s="1"/>
      <c r="L9" s="1"/>
      <c r="M9" s="1"/>
      <c r="N9" s="1"/>
      <c r="O9" s="1"/>
      <c r="P9" s="58"/>
      <c r="Q9" s="58"/>
      <c r="R9" s="58"/>
      <c r="S9" s="58"/>
      <c r="T9" s="58"/>
      <c r="U9" s="58"/>
      <c r="V9" s="58"/>
      <c r="W9" s="58"/>
      <c r="X9" s="58"/>
      <c r="Y9" s="58"/>
    </row>
    <row r="10" spans="1:27" s="55" customFormat="1" x14ac:dyDescent="0.45">
      <c r="A10" s="73"/>
      <c r="B10" s="74"/>
      <c r="C10" s="74"/>
      <c r="D10" s="76"/>
      <c r="E10" s="75"/>
      <c r="F10" s="76"/>
      <c r="G10" s="58"/>
      <c r="H10" s="58"/>
      <c r="I10" s="58"/>
      <c r="J10" s="58"/>
      <c r="K10" s="58"/>
      <c r="L10" s="58"/>
      <c r="M10" s="58"/>
      <c r="N10" s="58"/>
      <c r="O10" s="1"/>
      <c r="P10" s="58"/>
      <c r="Q10" s="58"/>
      <c r="R10" s="58"/>
      <c r="S10" s="58"/>
      <c r="T10" s="58"/>
      <c r="U10" s="58"/>
      <c r="V10" s="58"/>
      <c r="W10" s="58"/>
      <c r="X10" s="58"/>
      <c r="Y10" s="58"/>
    </row>
    <row r="11" spans="1:27" s="55" customFormat="1" x14ac:dyDescent="0.45">
      <c r="A11" s="73"/>
      <c r="B11" s="74"/>
      <c r="C11" s="76"/>
      <c r="D11" s="74"/>
      <c r="E11" s="75"/>
      <c r="F11" s="76"/>
      <c r="G11" s="58"/>
      <c r="H11" s="58"/>
      <c r="I11" s="58"/>
      <c r="J11" s="58"/>
      <c r="K11" s="58"/>
      <c r="L11" s="58"/>
      <c r="M11" s="58"/>
      <c r="N11" s="58"/>
      <c r="O11" s="1"/>
      <c r="P11" s="58"/>
      <c r="Q11" s="58"/>
      <c r="R11" s="58"/>
      <c r="S11" s="58"/>
      <c r="T11" s="58"/>
      <c r="U11" s="58"/>
      <c r="V11" s="58"/>
      <c r="W11" s="58"/>
      <c r="X11" s="58"/>
      <c r="Y11" s="58"/>
    </row>
    <row r="12" spans="1:27" s="55" customFormat="1" x14ac:dyDescent="0.45">
      <c r="A12" s="73"/>
      <c r="B12" s="76"/>
      <c r="C12" s="76"/>
      <c r="D12" s="76"/>
      <c r="E12" s="75"/>
      <c r="F12" s="76"/>
      <c r="G12" s="58"/>
      <c r="H12" s="58"/>
      <c r="I12" s="58"/>
      <c r="J12" s="58"/>
      <c r="K12" s="58"/>
      <c r="L12" s="58"/>
      <c r="M12" s="58"/>
      <c r="N12" s="58"/>
      <c r="O12" s="1"/>
      <c r="P12" s="58"/>
      <c r="Q12" s="58"/>
      <c r="R12" s="58"/>
      <c r="S12" s="58"/>
      <c r="T12" s="58"/>
      <c r="U12" s="58"/>
      <c r="V12" s="58"/>
      <c r="W12" s="58"/>
      <c r="X12" s="58"/>
      <c r="Y12" s="58"/>
    </row>
    <row r="13" spans="1:27" s="55" customFormat="1" x14ac:dyDescent="0.45">
      <c r="A13" s="73"/>
      <c r="B13" s="74"/>
      <c r="C13" s="74"/>
      <c r="D13" s="74"/>
      <c r="E13" s="75"/>
      <c r="F13" s="76"/>
      <c r="G13" s="58"/>
      <c r="H13" s="78"/>
      <c r="I13" s="78"/>
      <c r="J13" s="78"/>
      <c r="K13" s="78"/>
      <c r="L13" s="78"/>
      <c r="M13" s="78"/>
      <c r="N13" s="58"/>
      <c r="O13" s="1"/>
      <c r="P13" s="58"/>
      <c r="Q13" s="58"/>
      <c r="R13" s="58"/>
      <c r="S13" s="58"/>
      <c r="T13" s="58"/>
      <c r="U13" s="58"/>
      <c r="V13" s="58"/>
      <c r="W13" s="58"/>
      <c r="X13" s="58"/>
      <c r="Y13" s="58"/>
    </row>
    <row r="14" spans="1:27" s="55" customFormat="1" x14ac:dyDescent="0.45">
      <c r="A14" s="73"/>
      <c r="B14" s="74"/>
      <c r="C14" s="76"/>
      <c r="D14" s="74"/>
      <c r="E14" s="75"/>
      <c r="F14" s="76"/>
      <c r="G14" s="58"/>
      <c r="H14" s="1"/>
      <c r="I14" s="1"/>
      <c r="J14" s="1"/>
      <c r="K14" s="58"/>
      <c r="L14" s="58"/>
      <c r="M14" s="58"/>
      <c r="N14" s="58"/>
      <c r="O14" s="1"/>
      <c r="P14" s="58"/>
      <c r="Q14" s="58"/>
      <c r="R14" s="58"/>
      <c r="S14" s="58"/>
      <c r="T14" s="58"/>
      <c r="U14" s="58"/>
      <c r="V14" s="58"/>
      <c r="W14" s="58"/>
      <c r="X14" s="58"/>
      <c r="Y14" s="58"/>
    </row>
    <row r="15" spans="1:27" s="55" customFormat="1" ht="11.4" x14ac:dyDescent="0.45">
      <c r="A15" s="73"/>
      <c r="B15" s="74"/>
      <c r="C15" s="76"/>
      <c r="D15" s="74"/>
      <c r="E15" s="75"/>
      <c r="F15" s="76"/>
      <c r="G15" s="58"/>
      <c r="H15" s="79"/>
      <c r="I15" s="79"/>
      <c r="J15" s="79"/>
      <c r="K15" s="79"/>
      <c r="L15" s="79"/>
      <c r="M15" s="79"/>
      <c r="N15" s="58"/>
      <c r="O15" s="78"/>
      <c r="P15" s="78"/>
      <c r="Q15" s="78"/>
      <c r="R15" s="78"/>
      <c r="S15" s="78"/>
      <c r="T15" s="78"/>
      <c r="U15" s="78"/>
      <c r="V15" s="78"/>
      <c r="W15" s="78"/>
      <c r="X15" s="78"/>
      <c r="Y15" s="78"/>
    </row>
    <row r="16" spans="1:27" s="55" customFormat="1" x14ac:dyDescent="0.45">
      <c r="A16" s="56"/>
      <c r="B16" s="56"/>
      <c r="C16" s="56"/>
      <c r="D16" s="56"/>
      <c r="E16" s="56"/>
      <c r="F16" s="57"/>
      <c r="G16" s="58"/>
      <c r="H16" s="58"/>
      <c r="I16" s="58"/>
      <c r="J16" s="58"/>
      <c r="K16" s="58"/>
      <c r="L16" s="58"/>
      <c r="M16" s="58"/>
      <c r="N16" s="58"/>
      <c r="O16" s="58"/>
      <c r="P16" s="58"/>
      <c r="Q16" s="58"/>
      <c r="R16" s="58"/>
      <c r="S16" s="58"/>
      <c r="T16" s="58"/>
      <c r="U16" s="58"/>
      <c r="V16" s="1"/>
      <c r="W16" s="1"/>
      <c r="X16" s="1"/>
      <c r="Y16" s="1"/>
    </row>
    <row r="17" spans="1:25" s="55" customFormat="1" ht="12" customHeight="1" x14ac:dyDescent="0.45">
      <c r="A17" s="56"/>
      <c r="B17" s="56"/>
      <c r="C17" s="56"/>
      <c r="D17" s="56"/>
      <c r="E17" s="56"/>
      <c r="F17" s="57"/>
      <c r="G17" s="58"/>
      <c r="H17" s="80"/>
      <c r="I17" s="81"/>
      <c r="J17" s="81"/>
      <c r="K17" s="81"/>
      <c r="L17" s="80"/>
      <c r="M17" s="80"/>
      <c r="N17" s="80"/>
      <c r="O17" s="80"/>
      <c r="P17" s="80"/>
      <c r="Q17" s="80"/>
      <c r="R17" s="80"/>
      <c r="S17" s="80"/>
      <c r="T17" s="80"/>
      <c r="U17" s="80"/>
      <c r="V17" s="79"/>
      <c r="W17" s="82"/>
      <c r="X17" s="82"/>
      <c r="Y17" s="82"/>
    </row>
    <row r="18" spans="1:25" s="55" customFormat="1" x14ac:dyDescent="0.45">
      <c r="A18" s="56"/>
      <c r="B18" s="56"/>
      <c r="C18" s="56"/>
      <c r="D18" s="56"/>
      <c r="E18" s="56"/>
      <c r="F18" s="57"/>
      <c r="G18" s="58"/>
      <c r="H18" s="1"/>
      <c r="I18" s="58"/>
      <c r="J18" s="58"/>
      <c r="K18" s="58"/>
      <c r="L18" s="1"/>
      <c r="M18" s="1"/>
      <c r="N18" s="58"/>
      <c r="O18" s="58"/>
      <c r="P18" s="1"/>
      <c r="Q18" s="1"/>
      <c r="R18" s="1"/>
      <c r="S18" s="1"/>
      <c r="T18" s="1"/>
      <c r="U18" s="1"/>
      <c r="V18" s="1"/>
      <c r="W18" s="1"/>
      <c r="X18" s="1"/>
      <c r="Y18" s="1"/>
    </row>
    <row r="19" spans="1:25" s="55" customFormat="1" x14ac:dyDescent="0.45">
      <c r="A19" s="56"/>
      <c r="B19" s="56"/>
      <c r="C19" s="56"/>
      <c r="D19" s="56"/>
      <c r="E19" s="56"/>
      <c r="F19" s="57"/>
      <c r="G19" s="58"/>
      <c r="H19" s="58"/>
      <c r="I19" s="1"/>
      <c r="J19" s="1"/>
      <c r="K19" s="1"/>
      <c r="L19" s="1"/>
      <c r="M19" s="1"/>
      <c r="N19" s="1"/>
      <c r="O19" s="1"/>
      <c r="P19" s="1"/>
      <c r="Q19" s="1"/>
      <c r="R19" s="1"/>
      <c r="S19" s="1"/>
      <c r="T19" s="1"/>
      <c r="U19" s="1"/>
      <c r="V19" s="1"/>
      <c r="W19" s="1"/>
      <c r="X19" s="1"/>
      <c r="Y19" s="1"/>
    </row>
    <row r="20" spans="1:25" s="55" customFormat="1" x14ac:dyDescent="0.45">
      <c r="A20" s="56"/>
      <c r="B20" s="56"/>
      <c r="C20" s="56"/>
      <c r="D20" s="56"/>
      <c r="E20" s="56"/>
      <c r="F20" s="57"/>
      <c r="G20" s="58"/>
      <c r="H20" s="58"/>
      <c r="I20" s="1"/>
      <c r="J20" s="1"/>
      <c r="K20" s="1"/>
      <c r="L20" s="1"/>
      <c r="M20" s="1"/>
      <c r="N20" s="1"/>
      <c r="O20" s="1"/>
      <c r="P20" s="1"/>
      <c r="Q20" s="1"/>
      <c r="R20" s="1"/>
      <c r="S20" s="1"/>
      <c r="T20" s="1"/>
      <c r="U20" s="1"/>
      <c r="V20" s="1"/>
      <c r="W20" s="1"/>
      <c r="X20" s="1"/>
      <c r="Y20" s="1"/>
    </row>
    <row r="21" spans="1:25" s="55" customFormat="1" x14ac:dyDescent="0.45">
      <c r="A21" s="56"/>
      <c r="B21" s="56"/>
      <c r="C21" s="56"/>
      <c r="D21" s="56"/>
      <c r="E21" s="56"/>
      <c r="F21" s="57"/>
      <c r="G21" s="58"/>
      <c r="H21" s="58"/>
      <c r="I21" s="1"/>
      <c r="J21" s="1"/>
      <c r="K21" s="1"/>
      <c r="L21" s="1"/>
      <c r="M21" s="1"/>
      <c r="N21" s="1"/>
      <c r="O21" s="1"/>
      <c r="P21" s="1"/>
      <c r="Q21" s="1"/>
      <c r="R21" s="1"/>
      <c r="S21" s="1"/>
      <c r="T21" s="1"/>
      <c r="U21" s="1"/>
      <c r="V21" s="1"/>
      <c r="W21" s="1"/>
      <c r="X21" s="1"/>
      <c r="Y21" s="1"/>
    </row>
    <row r="22" spans="1:25" s="55" customFormat="1" x14ac:dyDescent="0.45">
      <c r="A22" s="56"/>
      <c r="B22" s="56"/>
      <c r="C22" s="56"/>
      <c r="D22" s="56"/>
      <c r="E22" s="56"/>
      <c r="F22" s="57"/>
      <c r="G22" s="58"/>
      <c r="H22" s="58"/>
      <c r="I22" s="1"/>
      <c r="J22" s="1"/>
      <c r="K22" s="1"/>
      <c r="L22" s="1"/>
      <c r="M22" s="1"/>
      <c r="N22" s="1"/>
      <c r="O22" s="1"/>
      <c r="P22" s="1"/>
      <c r="Q22" s="1"/>
      <c r="R22" s="1"/>
      <c r="S22" s="1"/>
      <c r="T22" s="1"/>
      <c r="U22" s="1"/>
      <c r="V22" s="1"/>
      <c r="W22" s="1"/>
      <c r="X22" s="1"/>
      <c r="Y22" s="1"/>
    </row>
    <row r="23" spans="1:25" s="55" customFormat="1" x14ac:dyDescent="0.45">
      <c r="A23" s="56"/>
      <c r="B23" s="56"/>
      <c r="C23" s="56"/>
      <c r="D23" s="56"/>
      <c r="E23" s="56"/>
      <c r="F23" s="57"/>
      <c r="G23" s="58"/>
      <c r="H23" s="58"/>
      <c r="I23" s="1"/>
      <c r="J23" s="1"/>
      <c r="K23" s="1"/>
      <c r="L23" s="1"/>
      <c r="M23" s="1"/>
      <c r="N23" s="1"/>
      <c r="O23" s="1"/>
      <c r="P23" s="1"/>
      <c r="Q23" s="1"/>
      <c r="R23" s="1"/>
      <c r="S23" s="1"/>
      <c r="T23" s="1"/>
      <c r="U23" s="1"/>
      <c r="V23" s="1"/>
      <c r="W23" s="1"/>
      <c r="X23" s="1"/>
      <c r="Y23" s="1"/>
    </row>
    <row r="24" spans="1:25" s="55" customFormat="1" x14ac:dyDescent="0.45">
      <c r="A24" s="56"/>
      <c r="B24" s="56"/>
      <c r="C24" s="56"/>
      <c r="D24" s="56"/>
      <c r="E24" s="56"/>
      <c r="F24" s="57"/>
      <c r="G24" s="58"/>
      <c r="H24" s="58"/>
      <c r="I24" s="1"/>
      <c r="J24" s="1"/>
      <c r="K24" s="1"/>
      <c r="L24" s="1"/>
      <c r="M24" s="1"/>
      <c r="N24" s="1"/>
      <c r="O24" s="1"/>
      <c r="P24" s="1"/>
      <c r="Q24" s="1"/>
      <c r="R24" s="1"/>
      <c r="S24" s="1"/>
      <c r="T24" s="1"/>
      <c r="U24" s="1"/>
      <c r="V24" s="1"/>
      <c r="W24" s="1"/>
      <c r="X24" s="1"/>
      <c r="Y24" s="1"/>
    </row>
    <row r="25" spans="1:25" s="55" customFormat="1" ht="11.1" x14ac:dyDescent="0.45">
      <c r="A25" s="56"/>
      <c r="B25" s="56"/>
      <c r="C25" s="56"/>
      <c r="D25" s="56"/>
      <c r="E25" s="56"/>
      <c r="F25" s="57"/>
      <c r="G25" s="58"/>
      <c r="H25" s="58"/>
      <c r="I25" s="58"/>
      <c r="J25" s="58"/>
      <c r="K25" s="58"/>
      <c r="L25" s="58"/>
      <c r="M25" s="58"/>
      <c r="N25" s="58"/>
      <c r="O25" s="58"/>
      <c r="P25" s="58"/>
      <c r="Q25" s="58"/>
      <c r="R25" s="58"/>
      <c r="S25" s="58"/>
      <c r="T25" s="58"/>
      <c r="U25" s="58"/>
      <c r="V25" s="58"/>
      <c r="W25" s="58"/>
      <c r="X25" s="58"/>
      <c r="Y25" s="58"/>
    </row>
    <row r="26" spans="1:25" s="55" customFormat="1" ht="11.1" x14ac:dyDescent="0.45">
      <c r="A26" s="56"/>
      <c r="B26" s="56"/>
      <c r="C26" s="56"/>
      <c r="D26" s="56"/>
      <c r="E26" s="56"/>
      <c r="F26" s="57"/>
      <c r="G26" s="58"/>
      <c r="H26" s="58"/>
      <c r="I26" s="58"/>
      <c r="J26" s="58"/>
      <c r="K26" s="58"/>
      <c r="L26" s="58"/>
      <c r="M26" s="58"/>
      <c r="N26" s="58"/>
      <c r="O26" s="58"/>
      <c r="P26" s="58"/>
      <c r="Q26" s="58"/>
      <c r="R26" s="58"/>
      <c r="S26" s="58"/>
      <c r="T26" s="58"/>
      <c r="U26" s="58"/>
      <c r="V26" s="58"/>
      <c r="W26" s="58"/>
      <c r="X26" s="58"/>
      <c r="Y26" s="58"/>
    </row>
    <row r="27" spans="1:25" s="55" customFormat="1" ht="11.1" x14ac:dyDescent="0.45">
      <c r="A27" s="56"/>
      <c r="B27" s="56"/>
      <c r="C27" s="56"/>
      <c r="D27" s="56"/>
      <c r="E27" s="56"/>
      <c r="F27" s="57"/>
      <c r="G27" s="58"/>
      <c r="H27" s="58"/>
      <c r="I27" s="58"/>
      <c r="J27" s="58"/>
      <c r="K27" s="58"/>
      <c r="L27" s="58"/>
      <c r="M27" s="58"/>
      <c r="N27" s="58"/>
      <c r="O27" s="58"/>
      <c r="P27" s="58"/>
      <c r="Q27" s="58"/>
      <c r="R27" s="58"/>
      <c r="S27" s="58"/>
      <c r="T27" s="58"/>
      <c r="U27" s="58"/>
      <c r="V27" s="58"/>
      <c r="W27" s="58"/>
      <c r="X27" s="58"/>
      <c r="Y27" s="58"/>
    </row>
    <row r="28" spans="1:25" s="55" customFormat="1" x14ac:dyDescent="0.45">
      <c r="A28" s="56"/>
      <c r="B28" s="56"/>
      <c r="C28" s="56"/>
      <c r="D28" s="56"/>
      <c r="E28" s="56"/>
      <c r="F28" s="57"/>
      <c r="G28" s="58"/>
      <c r="H28" s="58"/>
      <c r="I28" s="1"/>
      <c r="J28" s="1"/>
      <c r="K28" s="1"/>
      <c r="L28" s="1"/>
      <c r="M28" s="1"/>
      <c r="N28" s="1"/>
      <c r="O28" s="1"/>
      <c r="P28" s="1"/>
      <c r="Q28" s="1"/>
      <c r="R28" s="1"/>
      <c r="S28" s="1"/>
      <c r="T28" s="1"/>
      <c r="U28" s="1"/>
      <c r="V28" s="1"/>
      <c r="W28" s="1"/>
      <c r="X28" s="1"/>
      <c r="Y28" s="1"/>
    </row>
    <row r="29" spans="1:25" s="55" customFormat="1" x14ac:dyDescent="0.45">
      <c r="A29" s="56"/>
      <c r="B29" s="56"/>
      <c r="C29" s="56"/>
      <c r="D29" s="56"/>
      <c r="E29" s="56"/>
      <c r="F29" s="57"/>
      <c r="G29" s="58"/>
      <c r="H29" s="58"/>
      <c r="I29" s="1"/>
      <c r="J29" s="1"/>
      <c r="K29" s="1"/>
      <c r="L29" s="1"/>
      <c r="M29" s="1"/>
      <c r="N29" s="1"/>
      <c r="O29" s="1"/>
      <c r="P29" s="1"/>
      <c r="Q29" s="1"/>
      <c r="R29" s="1"/>
      <c r="S29" s="1"/>
      <c r="T29" s="1"/>
      <c r="U29" s="1"/>
      <c r="V29" s="1"/>
      <c r="W29" s="1"/>
      <c r="X29" s="1"/>
      <c r="Y29" s="1"/>
    </row>
    <row r="30" spans="1:25" s="55" customFormat="1" x14ac:dyDescent="0.45">
      <c r="A30" s="56"/>
      <c r="B30" s="56"/>
      <c r="C30" s="56"/>
      <c r="D30" s="56"/>
      <c r="E30" s="56"/>
      <c r="F30" s="57"/>
      <c r="G30" s="58"/>
      <c r="H30" s="58"/>
      <c r="I30" s="1"/>
      <c r="J30" s="1"/>
      <c r="K30" s="1"/>
      <c r="L30" s="1"/>
      <c r="M30" s="1"/>
      <c r="N30" s="1"/>
      <c r="O30" s="1"/>
      <c r="P30" s="1"/>
      <c r="Q30" s="1"/>
      <c r="R30" s="1"/>
      <c r="S30" s="1"/>
      <c r="T30" s="1"/>
      <c r="U30" s="1"/>
      <c r="V30" s="1"/>
      <c r="W30" s="1"/>
      <c r="X30" s="1"/>
      <c r="Y30" s="1"/>
    </row>
    <row r="31" spans="1:25" s="55" customFormat="1" x14ac:dyDescent="0.45">
      <c r="A31" s="56"/>
      <c r="B31" s="56"/>
      <c r="C31" s="56"/>
      <c r="D31" s="56"/>
      <c r="E31" s="56"/>
      <c r="F31" s="57"/>
      <c r="G31" s="58"/>
      <c r="H31" s="58"/>
      <c r="I31" s="1"/>
      <c r="J31" s="1"/>
      <c r="K31" s="1"/>
      <c r="L31" s="1"/>
      <c r="M31" s="1"/>
      <c r="N31" s="1"/>
      <c r="O31" s="1"/>
      <c r="P31" s="1"/>
      <c r="Q31" s="1"/>
      <c r="R31" s="1"/>
      <c r="S31" s="1"/>
      <c r="T31" s="1"/>
      <c r="U31" s="1"/>
      <c r="V31" s="1"/>
      <c r="W31" s="1"/>
      <c r="X31" s="1"/>
      <c r="Y31" s="1"/>
    </row>
    <row r="32" spans="1:25" s="55" customFormat="1" x14ac:dyDescent="0.45">
      <c r="A32" s="56"/>
      <c r="B32" s="56"/>
      <c r="C32" s="56"/>
      <c r="D32" s="56"/>
      <c r="E32" s="56"/>
      <c r="F32" s="57"/>
      <c r="G32" s="58"/>
      <c r="H32" s="58"/>
      <c r="I32" s="1"/>
      <c r="J32" s="1"/>
      <c r="K32" s="1"/>
      <c r="L32" s="1"/>
      <c r="M32" s="1"/>
      <c r="N32" s="1"/>
      <c r="O32" s="1"/>
      <c r="P32" s="1"/>
      <c r="Q32" s="1"/>
      <c r="R32" s="1"/>
      <c r="S32" s="1"/>
      <c r="T32" s="1"/>
      <c r="U32" s="1"/>
      <c r="V32" s="1"/>
      <c r="W32" s="1"/>
      <c r="X32" s="1"/>
      <c r="Y32" s="1"/>
    </row>
    <row r="33" spans="1:25" s="55" customFormat="1" ht="11.1" x14ac:dyDescent="0.45">
      <c r="A33" s="56"/>
      <c r="B33" s="56"/>
      <c r="C33" s="56"/>
      <c r="D33" s="56"/>
      <c r="E33" s="56"/>
      <c r="F33" s="57"/>
      <c r="G33" s="58"/>
      <c r="H33" s="58"/>
      <c r="I33" s="58"/>
      <c r="J33" s="58"/>
      <c r="K33" s="58"/>
      <c r="L33" s="58"/>
      <c r="M33" s="58"/>
      <c r="N33" s="58"/>
      <c r="O33" s="58"/>
      <c r="P33" s="58"/>
      <c r="Q33" s="58"/>
      <c r="R33" s="58"/>
      <c r="S33" s="58"/>
      <c r="T33" s="58"/>
      <c r="U33" s="58"/>
      <c r="V33" s="58"/>
      <c r="W33" s="58"/>
      <c r="X33" s="58"/>
      <c r="Y33" s="58"/>
    </row>
    <row r="34" spans="1:25" s="55" customFormat="1" ht="11.1" x14ac:dyDescent="0.45">
      <c r="A34" s="56"/>
      <c r="B34" s="56"/>
      <c r="C34" s="56"/>
      <c r="D34" s="56"/>
      <c r="E34" s="56"/>
      <c r="F34" s="57"/>
      <c r="G34" s="58"/>
      <c r="H34" s="58"/>
      <c r="I34" s="58"/>
      <c r="J34" s="58"/>
      <c r="K34" s="58"/>
      <c r="L34" s="58"/>
      <c r="M34" s="58"/>
      <c r="N34" s="58"/>
      <c r="O34" s="58"/>
      <c r="P34" s="58"/>
      <c r="Q34" s="58"/>
      <c r="R34" s="58"/>
      <c r="S34" s="58"/>
      <c r="T34" s="58"/>
      <c r="U34" s="58"/>
      <c r="V34" s="58"/>
      <c r="W34" s="58"/>
      <c r="X34" s="58"/>
      <c r="Y34" s="58"/>
    </row>
    <row r="35" spans="1:25" s="55" customFormat="1" ht="11.1" x14ac:dyDescent="0.45">
      <c r="A35" s="56"/>
      <c r="B35" s="56"/>
      <c r="C35" s="56"/>
      <c r="D35" s="56"/>
      <c r="E35" s="56"/>
      <c r="F35" s="57"/>
      <c r="G35" s="58"/>
      <c r="H35" s="58"/>
      <c r="I35" s="58"/>
      <c r="J35" s="58"/>
      <c r="K35" s="58"/>
      <c r="L35" s="58"/>
      <c r="M35" s="58"/>
      <c r="N35" s="58"/>
      <c r="O35" s="58"/>
      <c r="P35" s="58"/>
      <c r="Q35" s="58"/>
      <c r="R35" s="58"/>
      <c r="S35" s="58"/>
      <c r="T35" s="58"/>
      <c r="U35" s="58"/>
      <c r="V35" s="58"/>
      <c r="W35" s="58"/>
      <c r="X35" s="58"/>
      <c r="Y35" s="58"/>
    </row>
    <row r="36" spans="1:25" s="55" customFormat="1" ht="11.1" x14ac:dyDescent="0.45">
      <c r="A36" s="56"/>
      <c r="B36" s="56"/>
      <c r="C36" s="56"/>
      <c r="D36" s="56"/>
      <c r="E36" s="56"/>
      <c r="F36" s="57"/>
      <c r="G36" s="58"/>
      <c r="H36" s="58"/>
      <c r="I36" s="58"/>
      <c r="J36" s="58"/>
      <c r="K36" s="58"/>
      <c r="L36" s="58"/>
      <c r="M36" s="58"/>
      <c r="N36" s="58"/>
      <c r="O36" s="58"/>
      <c r="P36" s="58"/>
      <c r="Q36" s="58"/>
      <c r="R36" s="58"/>
      <c r="S36" s="58"/>
      <c r="T36" s="58"/>
      <c r="U36" s="58"/>
      <c r="V36" s="58"/>
      <c r="W36" s="58"/>
      <c r="X36" s="58"/>
      <c r="Y36" s="58"/>
    </row>
    <row r="37" spans="1:25" s="55" customFormat="1" ht="11.1" x14ac:dyDescent="0.45">
      <c r="A37" s="56"/>
      <c r="B37" s="56"/>
      <c r="C37" s="56"/>
      <c r="D37" s="56"/>
      <c r="E37" s="56"/>
      <c r="F37" s="57"/>
      <c r="G37" s="58"/>
      <c r="H37" s="58"/>
      <c r="I37" s="58"/>
      <c r="J37" s="58"/>
      <c r="K37" s="58"/>
      <c r="L37" s="58"/>
      <c r="M37" s="58"/>
      <c r="N37" s="58"/>
      <c r="O37" s="58"/>
      <c r="P37" s="58"/>
      <c r="Q37" s="58"/>
      <c r="R37" s="58"/>
      <c r="S37" s="58"/>
      <c r="T37" s="58"/>
      <c r="U37" s="58"/>
      <c r="V37" s="58"/>
      <c r="W37" s="58"/>
      <c r="X37" s="58"/>
      <c r="Y37" s="58"/>
    </row>
    <row r="38" spans="1:25" s="55" customFormat="1" ht="11.1" x14ac:dyDescent="0.45">
      <c r="A38" s="56"/>
      <c r="B38" s="56"/>
      <c r="C38" s="56"/>
      <c r="D38" s="56"/>
      <c r="E38" s="56"/>
      <c r="F38" s="57"/>
      <c r="G38" s="58"/>
      <c r="H38" s="58"/>
      <c r="I38" s="58"/>
      <c r="J38" s="58"/>
      <c r="K38" s="58"/>
      <c r="L38" s="58"/>
      <c r="M38" s="58"/>
      <c r="N38" s="58"/>
      <c r="O38" s="58"/>
      <c r="P38" s="58"/>
      <c r="Q38" s="58"/>
      <c r="R38" s="58"/>
      <c r="S38" s="58"/>
      <c r="T38" s="58"/>
      <c r="U38" s="58"/>
      <c r="V38" s="58"/>
      <c r="W38" s="58"/>
      <c r="X38" s="58"/>
      <c r="Y38" s="58"/>
    </row>
    <row r="39" spans="1:25" s="55" customFormat="1" ht="11.1" x14ac:dyDescent="0.45">
      <c r="A39" s="56"/>
      <c r="B39" s="56"/>
      <c r="C39" s="56"/>
      <c r="D39" s="56"/>
      <c r="E39" s="56"/>
      <c r="F39" s="57"/>
      <c r="G39" s="58"/>
      <c r="H39" s="58"/>
      <c r="I39" s="58"/>
      <c r="J39" s="58"/>
      <c r="K39" s="58"/>
      <c r="L39" s="58"/>
      <c r="M39" s="58"/>
      <c r="N39" s="58"/>
      <c r="O39" s="58"/>
      <c r="P39" s="58"/>
      <c r="Q39" s="58"/>
      <c r="R39" s="58"/>
      <c r="S39" s="58"/>
      <c r="T39" s="58"/>
      <c r="U39" s="58"/>
      <c r="V39" s="58"/>
      <c r="W39" s="58"/>
      <c r="X39" s="58"/>
      <c r="Y39" s="58"/>
    </row>
    <row r="40" spans="1:25" s="55" customFormat="1" ht="11.1" x14ac:dyDescent="0.45">
      <c r="A40" s="56"/>
      <c r="B40" s="56"/>
      <c r="C40" s="56"/>
      <c r="D40" s="56"/>
      <c r="E40" s="56"/>
      <c r="F40" s="57"/>
      <c r="G40" s="58"/>
      <c r="H40" s="58"/>
      <c r="I40" s="58"/>
      <c r="J40" s="58"/>
      <c r="K40" s="58"/>
      <c r="L40" s="58"/>
      <c r="M40" s="58"/>
      <c r="N40" s="58"/>
      <c r="O40" s="58"/>
      <c r="P40" s="58"/>
      <c r="Q40" s="58"/>
      <c r="R40" s="58"/>
      <c r="S40" s="58"/>
      <c r="T40" s="58"/>
      <c r="U40" s="58"/>
      <c r="V40" s="58"/>
      <c r="W40" s="58"/>
      <c r="X40" s="58"/>
      <c r="Y40" s="58"/>
    </row>
    <row r="41" spans="1:25" s="55" customFormat="1" ht="11.1" x14ac:dyDescent="0.45">
      <c r="A41" s="56"/>
      <c r="B41" s="56"/>
      <c r="C41" s="56"/>
      <c r="D41" s="56"/>
      <c r="E41" s="56"/>
      <c r="F41" s="57"/>
      <c r="G41" s="58"/>
      <c r="H41" s="58"/>
      <c r="I41" s="58"/>
      <c r="J41" s="58"/>
      <c r="K41" s="58"/>
      <c r="L41" s="58"/>
      <c r="M41" s="58"/>
      <c r="N41" s="58"/>
      <c r="O41" s="58"/>
      <c r="P41" s="58"/>
      <c r="Q41" s="58"/>
      <c r="R41" s="58"/>
      <c r="S41" s="58"/>
      <c r="T41" s="58"/>
      <c r="U41" s="58"/>
      <c r="V41" s="58"/>
      <c r="W41" s="58"/>
      <c r="X41" s="58"/>
      <c r="Y41" s="58"/>
    </row>
    <row r="42" spans="1:25" s="55" customFormat="1" ht="11.1" x14ac:dyDescent="0.45">
      <c r="A42" s="56"/>
      <c r="B42" s="56"/>
      <c r="C42" s="56"/>
      <c r="D42" s="56"/>
      <c r="E42" s="56"/>
      <c r="F42" s="57"/>
      <c r="G42" s="58"/>
      <c r="H42" s="58"/>
      <c r="I42" s="58"/>
      <c r="J42" s="58"/>
      <c r="K42" s="58"/>
      <c r="L42" s="58"/>
      <c r="M42" s="58"/>
      <c r="N42" s="58"/>
      <c r="O42" s="58"/>
      <c r="P42" s="58"/>
      <c r="Q42" s="58"/>
      <c r="R42" s="58"/>
      <c r="S42" s="58"/>
      <c r="T42" s="58"/>
      <c r="U42" s="58"/>
      <c r="V42" s="58"/>
      <c r="W42" s="58"/>
      <c r="X42" s="58"/>
      <c r="Y42" s="58"/>
    </row>
    <row r="43" spans="1:25" s="55" customFormat="1" ht="11.1" x14ac:dyDescent="0.45">
      <c r="A43" s="56"/>
      <c r="B43" s="56"/>
      <c r="C43" s="56"/>
      <c r="D43" s="56"/>
      <c r="E43" s="56"/>
      <c r="F43" s="57"/>
      <c r="G43" s="58"/>
      <c r="H43" s="58"/>
      <c r="I43" s="58"/>
      <c r="J43" s="58"/>
      <c r="K43" s="58"/>
      <c r="L43" s="58"/>
      <c r="M43" s="58"/>
      <c r="N43" s="58"/>
      <c r="O43" s="58"/>
      <c r="P43" s="58"/>
      <c r="Q43" s="58"/>
      <c r="R43" s="58"/>
      <c r="S43" s="58"/>
      <c r="T43" s="58"/>
      <c r="U43" s="58"/>
      <c r="V43" s="58"/>
      <c r="W43" s="58"/>
      <c r="X43" s="58"/>
      <c r="Y43" s="58"/>
    </row>
    <row r="44" spans="1:25" s="55" customFormat="1" ht="11.1" x14ac:dyDescent="0.45">
      <c r="A44" s="56"/>
      <c r="B44" s="56"/>
      <c r="C44" s="56"/>
      <c r="D44" s="56"/>
      <c r="E44" s="56"/>
      <c r="F44" s="57"/>
      <c r="G44" s="58"/>
      <c r="H44" s="58"/>
      <c r="I44" s="58"/>
      <c r="J44" s="58"/>
      <c r="K44" s="58"/>
      <c r="L44" s="58"/>
      <c r="M44" s="58"/>
      <c r="N44" s="58"/>
      <c r="O44" s="58"/>
      <c r="P44" s="58"/>
      <c r="Q44" s="58"/>
      <c r="R44" s="58"/>
      <c r="S44" s="58"/>
      <c r="T44" s="58"/>
      <c r="U44" s="58"/>
      <c r="V44" s="58"/>
      <c r="W44" s="58"/>
      <c r="X44" s="58"/>
      <c r="Y44" s="58"/>
    </row>
    <row r="45" spans="1:25" s="55" customFormat="1" ht="11.1" x14ac:dyDescent="0.45">
      <c r="A45" s="56"/>
      <c r="B45" s="56"/>
      <c r="C45" s="56"/>
      <c r="D45" s="56"/>
      <c r="E45" s="56"/>
      <c r="F45" s="57"/>
      <c r="G45" s="58"/>
      <c r="H45" s="58"/>
      <c r="I45" s="58"/>
      <c r="J45" s="58"/>
      <c r="K45" s="58"/>
      <c r="L45" s="58"/>
      <c r="M45" s="58"/>
      <c r="N45" s="58"/>
      <c r="O45" s="58"/>
      <c r="P45" s="58"/>
      <c r="Q45" s="58"/>
      <c r="R45" s="58"/>
      <c r="S45" s="58"/>
      <c r="T45" s="58"/>
      <c r="U45" s="58"/>
      <c r="V45" s="58"/>
      <c r="W45" s="58"/>
      <c r="X45" s="58"/>
      <c r="Y45" s="58"/>
    </row>
    <row r="46" spans="1:25" s="55" customFormat="1" ht="11.1" x14ac:dyDescent="0.45">
      <c r="A46" s="56"/>
      <c r="B46" s="56"/>
      <c r="C46" s="56"/>
      <c r="D46" s="56"/>
      <c r="E46" s="56"/>
      <c r="F46" s="57"/>
      <c r="G46" s="58"/>
      <c r="H46" s="58"/>
      <c r="I46" s="58"/>
      <c r="J46" s="58"/>
      <c r="K46" s="58"/>
      <c r="L46" s="58"/>
      <c r="M46" s="58"/>
      <c r="N46" s="58"/>
      <c r="O46" s="58"/>
      <c r="P46" s="58"/>
      <c r="Q46" s="58"/>
      <c r="R46" s="58"/>
      <c r="S46" s="58"/>
      <c r="T46" s="58"/>
      <c r="U46" s="58"/>
      <c r="V46" s="58"/>
      <c r="W46" s="58"/>
      <c r="X46" s="58"/>
      <c r="Y46" s="58"/>
    </row>
    <row r="47" spans="1:25" s="55" customFormat="1" ht="11.1" x14ac:dyDescent="0.45">
      <c r="A47" s="56"/>
      <c r="B47" s="56"/>
      <c r="C47" s="56"/>
      <c r="D47" s="56"/>
      <c r="E47" s="56"/>
      <c r="F47" s="57"/>
      <c r="G47" s="58"/>
      <c r="H47" s="58"/>
      <c r="I47" s="58"/>
      <c r="J47" s="58"/>
      <c r="K47" s="58"/>
      <c r="L47" s="58"/>
      <c r="M47" s="58"/>
      <c r="N47" s="58"/>
      <c r="O47" s="58"/>
      <c r="P47" s="58"/>
      <c r="Q47" s="58"/>
      <c r="R47" s="58"/>
      <c r="S47" s="58"/>
      <c r="T47" s="58"/>
      <c r="U47" s="58"/>
      <c r="V47" s="58"/>
      <c r="W47" s="58"/>
      <c r="X47" s="58"/>
      <c r="Y47" s="58"/>
    </row>
    <row r="48" spans="1:25" s="55" customFormat="1" ht="11.1" x14ac:dyDescent="0.45">
      <c r="A48" s="56"/>
      <c r="B48" s="56"/>
      <c r="C48" s="56"/>
      <c r="D48" s="56"/>
      <c r="E48" s="56"/>
      <c r="F48" s="57"/>
      <c r="G48" s="58"/>
      <c r="H48" s="58"/>
      <c r="I48" s="58"/>
      <c r="J48" s="58"/>
      <c r="K48" s="58"/>
      <c r="L48" s="58"/>
      <c r="M48" s="58"/>
      <c r="N48" s="58"/>
      <c r="O48" s="58"/>
      <c r="P48" s="58"/>
      <c r="Q48" s="58"/>
      <c r="R48" s="58"/>
      <c r="S48" s="58"/>
      <c r="T48" s="58"/>
      <c r="U48" s="58"/>
      <c r="V48" s="58"/>
      <c r="W48" s="58"/>
      <c r="X48" s="58"/>
      <c r="Y48" s="58"/>
    </row>
  </sheetData>
  <mergeCells count="13">
    <mergeCell ref="A1:AA1"/>
    <mergeCell ref="H2:S2"/>
    <mergeCell ref="T2:U2"/>
    <mergeCell ref="V2:Y2"/>
    <mergeCell ref="A2:A3"/>
    <mergeCell ref="B2:B3"/>
    <mergeCell ref="C2:C3"/>
    <mergeCell ref="D2:D3"/>
    <mergeCell ref="E2:E3"/>
    <mergeCell ref="F2:F3"/>
    <mergeCell ref="G2:G3"/>
    <mergeCell ref="Z2:Z3"/>
    <mergeCell ref="AA2:AA3"/>
  </mergeCells>
  <phoneticPr fontId="35" type="noConversion"/>
  <pageMargins left="0.75" right="0.75" top="1" bottom="1" header="0.51" footer="0.51"/>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11"/>
  <sheetViews>
    <sheetView zoomScale="85" zoomScaleNormal="85" workbookViewId="0">
      <selection activeCell="J3" sqref="J3:AF6"/>
    </sheetView>
  </sheetViews>
  <sheetFormatPr defaultColWidth="9" defaultRowHeight="15.3" x14ac:dyDescent="0.45"/>
  <cols>
    <col min="1" max="5" width="4.84765625" style="40" customWidth="1"/>
    <col min="6" max="6" width="9.34765625" style="40" customWidth="1"/>
    <col min="7" max="9" width="4.84765625" style="40" customWidth="1"/>
  </cols>
  <sheetData>
    <row r="1" spans="1:35" x14ac:dyDescent="0.4">
      <c r="A1" s="252" t="s">
        <v>732</v>
      </c>
      <c r="B1" s="253" t="s">
        <v>733</v>
      </c>
      <c r="C1" s="253" t="s">
        <v>734</v>
      </c>
      <c r="D1" s="253" t="s">
        <v>701</v>
      </c>
      <c r="E1" s="253" t="s">
        <v>735</v>
      </c>
      <c r="F1" s="252" t="s">
        <v>700</v>
      </c>
      <c r="G1" s="253" t="s">
        <v>736</v>
      </c>
      <c r="H1" s="254" t="s">
        <v>737</v>
      </c>
      <c r="I1" s="254" t="s">
        <v>738</v>
      </c>
      <c r="J1" s="250" t="s">
        <v>739</v>
      </c>
      <c r="K1" s="250"/>
      <c r="L1" s="250"/>
      <c r="M1" s="250"/>
      <c r="N1" s="250"/>
      <c r="O1" s="250"/>
      <c r="P1" s="250"/>
      <c r="Q1" s="250"/>
      <c r="R1" s="250"/>
      <c r="S1" s="250"/>
      <c r="T1" s="250"/>
      <c r="U1" s="250"/>
      <c r="V1" s="251" t="s">
        <v>740</v>
      </c>
      <c r="W1" s="251"/>
      <c r="X1" s="251"/>
      <c r="Y1" s="251"/>
      <c r="Z1" s="251"/>
      <c r="AA1" s="251"/>
      <c r="AB1" s="251"/>
      <c r="AC1" s="251"/>
      <c r="AD1" s="251"/>
      <c r="AE1" s="251"/>
      <c r="AF1" s="251"/>
      <c r="AG1" s="42"/>
      <c r="AH1" s="42"/>
      <c r="AI1" s="42"/>
    </row>
    <row r="2" spans="1:35" ht="25.8" x14ac:dyDescent="0.4">
      <c r="A2" s="252"/>
      <c r="B2" s="253"/>
      <c r="C2" s="253"/>
      <c r="D2" s="253"/>
      <c r="E2" s="253"/>
      <c r="F2" s="252"/>
      <c r="G2" s="253"/>
      <c r="H2" s="254"/>
      <c r="I2" s="254"/>
      <c r="J2" s="41" t="s">
        <v>741</v>
      </c>
      <c r="K2" s="41" t="s">
        <v>742</v>
      </c>
      <c r="L2" s="41" t="s">
        <v>723</v>
      </c>
      <c r="M2" s="41" t="s">
        <v>724</v>
      </c>
      <c r="N2" s="41" t="s">
        <v>725</v>
      </c>
      <c r="O2" s="41" t="s">
        <v>727</v>
      </c>
      <c r="P2" s="6" t="s">
        <v>728</v>
      </c>
      <c r="Q2" s="41" t="s">
        <v>726</v>
      </c>
      <c r="R2" s="6" t="s">
        <v>743</v>
      </c>
      <c r="S2" s="6" t="s">
        <v>744</v>
      </c>
      <c r="T2" s="6" t="s">
        <v>745</v>
      </c>
      <c r="U2" s="6" t="s">
        <v>705</v>
      </c>
      <c r="V2" s="41" t="s">
        <v>746</v>
      </c>
      <c r="W2" s="41" t="s">
        <v>747</v>
      </c>
      <c r="X2" s="41" t="s">
        <v>748</v>
      </c>
      <c r="Y2" s="44" t="s">
        <v>749</v>
      </c>
      <c r="Z2" s="44" t="s">
        <v>743</v>
      </c>
      <c r="AA2" s="44" t="s">
        <v>750</v>
      </c>
      <c r="AB2" s="6" t="s">
        <v>751</v>
      </c>
      <c r="AC2" s="6" t="s">
        <v>752</v>
      </c>
      <c r="AD2" s="6" t="s">
        <v>745</v>
      </c>
      <c r="AE2" s="44" t="s">
        <v>744</v>
      </c>
      <c r="AF2" s="6" t="s">
        <v>705</v>
      </c>
      <c r="AG2" s="42"/>
      <c r="AH2" s="42"/>
      <c r="AI2" s="42"/>
    </row>
    <row r="3" spans="1:35" ht="42.3" x14ac:dyDescent="0.45">
      <c r="A3" s="48" t="s">
        <v>753</v>
      </c>
      <c r="B3" s="49" t="s">
        <v>754</v>
      </c>
      <c r="C3" s="50" t="s">
        <v>30</v>
      </c>
      <c r="D3" s="51" t="s">
        <v>714</v>
      </c>
      <c r="E3" s="49" t="s">
        <v>755</v>
      </c>
      <c r="F3" s="50">
        <v>20170573</v>
      </c>
      <c r="G3" s="50">
        <v>1500</v>
      </c>
      <c r="H3" s="52">
        <v>41</v>
      </c>
      <c r="I3" s="53">
        <v>2.73333333333333E-2</v>
      </c>
      <c r="J3" s="30"/>
      <c r="K3" s="3">
        <v>1</v>
      </c>
      <c r="L3" s="3"/>
      <c r="M3" s="3"/>
      <c r="N3" s="3">
        <v>1</v>
      </c>
      <c r="O3" s="3"/>
      <c r="P3" s="3"/>
      <c r="Q3" s="3">
        <v>1</v>
      </c>
      <c r="R3" s="3"/>
      <c r="S3" s="3"/>
      <c r="T3" s="3"/>
      <c r="U3" s="6"/>
      <c r="V3" s="3"/>
      <c r="W3" s="3"/>
      <c r="X3" s="3"/>
      <c r="Y3" s="3"/>
      <c r="Z3" s="3"/>
      <c r="AA3" s="3"/>
      <c r="AB3" s="3"/>
      <c r="AC3" s="3"/>
      <c r="AD3" s="3"/>
      <c r="AE3" s="3">
        <v>2</v>
      </c>
      <c r="AF3" s="3"/>
      <c r="AG3" s="1"/>
      <c r="AH3" s="1"/>
      <c r="AI3" s="1"/>
    </row>
    <row r="4" spans="1:35" ht="42.3" x14ac:dyDescent="0.45">
      <c r="A4" s="48" t="s">
        <v>756</v>
      </c>
      <c r="B4" s="49" t="s">
        <v>754</v>
      </c>
      <c r="C4" s="50" t="s">
        <v>30</v>
      </c>
      <c r="D4" s="51" t="s">
        <v>714</v>
      </c>
      <c r="E4" s="49" t="s">
        <v>755</v>
      </c>
      <c r="F4" s="50">
        <v>20170573</v>
      </c>
      <c r="G4" s="50">
        <v>3500</v>
      </c>
      <c r="H4" s="52">
        <v>92</v>
      </c>
      <c r="I4" s="53">
        <v>2.6285714285714301E-2</v>
      </c>
      <c r="J4" s="30"/>
      <c r="K4" s="3">
        <v>1</v>
      </c>
      <c r="L4" s="3"/>
      <c r="M4" s="3">
        <v>1</v>
      </c>
      <c r="N4" s="3">
        <v>1</v>
      </c>
      <c r="O4" s="3"/>
      <c r="P4" s="3">
        <v>1</v>
      </c>
      <c r="Q4" s="3"/>
      <c r="R4" s="3"/>
      <c r="S4" s="3">
        <v>1</v>
      </c>
      <c r="T4" s="3"/>
      <c r="U4" s="6"/>
      <c r="V4" s="3"/>
      <c r="W4" s="3"/>
      <c r="X4" s="3">
        <v>1</v>
      </c>
      <c r="Y4" s="3"/>
      <c r="Z4" s="3">
        <v>1</v>
      </c>
      <c r="AA4" s="3"/>
      <c r="AB4" s="3"/>
      <c r="AC4" s="3"/>
      <c r="AD4" s="3"/>
      <c r="AE4" s="3"/>
      <c r="AF4" s="3"/>
      <c r="AG4" s="1"/>
      <c r="AH4" s="1"/>
      <c r="AI4" s="1"/>
    </row>
    <row r="5" spans="1:35" x14ac:dyDescent="0.4">
      <c r="A5" s="45"/>
      <c r="B5" s="30"/>
      <c r="C5" s="30"/>
      <c r="D5" s="46"/>
      <c r="E5" s="54"/>
      <c r="F5" s="45"/>
      <c r="G5" s="30"/>
      <c r="H5" s="52"/>
      <c r="I5" s="52"/>
      <c r="J5" s="30"/>
      <c r="K5" s="30">
        <f t="shared" ref="K5:T5" si="0">SUM(K3:K4)</f>
        <v>2</v>
      </c>
      <c r="L5" s="30">
        <f t="shared" si="0"/>
        <v>0</v>
      </c>
      <c r="M5" s="30">
        <f t="shared" si="0"/>
        <v>1</v>
      </c>
      <c r="N5" s="30">
        <f t="shared" si="0"/>
        <v>2</v>
      </c>
      <c r="O5" s="30">
        <f t="shared" si="0"/>
        <v>0</v>
      </c>
      <c r="P5" s="30">
        <f t="shared" si="0"/>
        <v>1</v>
      </c>
      <c r="Q5" s="30">
        <f t="shared" si="0"/>
        <v>1</v>
      </c>
      <c r="R5" s="30">
        <f t="shared" si="0"/>
        <v>0</v>
      </c>
      <c r="S5" s="30">
        <f t="shared" si="0"/>
        <v>1</v>
      </c>
      <c r="T5" s="30">
        <f t="shared" si="0"/>
        <v>0</v>
      </c>
      <c r="U5" s="30">
        <f t="shared" ref="U5:AB5" si="1">SUM(U3:U4)</f>
        <v>0</v>
      </c>
      <c r="V5" s="30">
        <f t="shared" si="1"/>
        <v>0</v>
      </c>
      <c r="W5" s="30">
        <f t="shared" si="1"/>
        <v>0</v>
      </c>
      <c r="X5" s="30">
        <f t="shared" si="1"/>
        <v>1</v>
      </c>
      <c r="Y5" s="30">
        <f t="shared" si="1"/>
        <v>0</v>
      </c>
      <c r="Z5" s="30">
        <f t="shared" si="1"/>
        <v>1</v>
      </c>
      <c r="AA5" s="30">
        <f t="shared" si="1"/>
        <v>0</v>
      </c>
      <c r="AB5" s="30">
        <f t="shared" si="1"/>
        <v>0</v>
      </c>
      <c r="AC5" s="30"/>
      <c r="AD5" s="30"/>
      <c r="AE5" s="30">
        <f>SUM(AE3:AE4)</f>
        <v>2</v>
      </c>
      <c r="AF5" s="30">
        <f>SUM(AF3:AF4)</f>
        <v>0</v>
      </c>
      <c r="AG5" s="47"/>
      <c r="AH5" s="47"/>
      <c r="AI5" s="47"/>
    </row>
    <row r="11" spans="1:35" x14ac:dyDescent="0.45">
      <c r="V11" t="s">
        <v>757</v>
      </c>
    </row>
  </sheetData>
  <mergeCells count="11">
    <mergeCell ref="J1:U1"/>
    <mergeCell ref="V1:AF1"/>
    <mergeCell ref="A1:A2"/>
    <mergeCell ref="B1:B2"/>
    <mergeCell ref="C1:C2"/>
    <mergeCell ref="D1:D2"/>
    <mergeCell ref="E1:E2"/>
    <mergeCell ref="F1:F2"/>
    <mergeCell ref="G1:G2"/>
    <mergeCell ref="H1:H2"/>
    <mergeCell ref="I1:I2"/>
  </mergeCells>
  <phoneticPr fontId="35" type="noConversion"/>
  <pageMargins left="0.75" right="0.75" top="1" bottom="1" header="0.51" footer="0.5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1"/>
  <sheetViews>
    <sheetView zoomScale="85" zoomScaleNormal="85" workbookViewId="0">
      <selection activeCell="AA3" sqref="AA3"/>
    </sheetView>
  </sheetViews>
  <sheetFormatPr defaultColWidth="9" defaultRowHeight="15.3" x14ac:dyDescent="0.45"/>
  <cols>
    <col min="1" max="4" width="13.3984375" style="40" customWidth="1"/>
  </cols>
  <sheetData>
    <row r="1" spans="1:30" x14ac:dyDescent="0.4">
      <c r="A1" s="256" t="s">
        <v>758</v>
      </c>
      <c r="B1" s="257" t="s">
        <v>759</v>
      </c>
      <c r="C1" s="256" t="s">
        <v>760</v>
      </c>
      <c r="D1" s="256" t="s">
        <v>701</v>
      </c>
      <c r="E1" s="255" t="s">
        <v>739</v>
      </c>
      <c r="F1" s="250"/>
      <c r="G1" s="250"/>
      <c r="H1" s="250"/>
      <c r="I1" s="250"/>
      <c r="J1" s="250"/>
      <c r="K1" s="250"/>
      <c r="L1" s="250"/>
      <c r="M1" s="250"/>
      <c r="N1" s="250"/>
      <c r="O1" s="250"/>
      <c r="P1" s="250"/>
      <c r="Q1" s="251" t="s">
        <v>740</v>
      </c>
      <c r="R1" s="251"/>
      <c r="S1" s="251"/>
      <c r="T1" s="251"/>
      <c r="U1" s="251"/>
      <c r="V1" s="251"/>
      <c r="W1" s="251"/>
      <c r="X1" s="251"/>
      <c r="Y1" s="251"/>
      <c r="Z1" s="251"/>
      <c r="AA1" s="251"/>
      <c r="AB1" s="42"/>
      <c r="AC1" s="42"/>
      <c r="AD1" s="42"/>
    </row>
    <row r="2" spans="1:30" ht="25.8" x14ac:dyDescent="0.4">
      <c r="A2" s="256"/>
      <c r="B2" s="257"/>
      <c r="C2" s="256"/>
      <c r="D2" s="256"/>
      <c r="E2" s="43" t="s">
        <v>741</v>
      </c>
      <c r="F2" s="41" t="s">
        <v>742</v>
      </c>
      <c r="G2" s="41" t="s">
        <v>723</v>
      </c>
      <c r="H2" s="41" t="s">
        <v>724</v>
      </c>
      <c r="I2" s="41" t="s">
        <v>725</v>
      </c>
      <c r="J2" s="41" t="s">
        <v>727</v>
      </c>
      <c r="K2" s="6" t="s">
        <v>728</v>
      </c>
      <c r="L2" s="41" t="s">
        <v>726</v>
      </c>
      <c r="M2" s="6" t="s">
        <v>743</v>
      </c>
      <c r="N2" s="6" t="s">
        <v>744</v>
      </c>
      <c r="O2" s="6" t="s">
        <v>745</v>
      </c>
      <c r="P2" s="6" t="s">
        <v>705</v>
      </c>
      <c r="Q2" s="41" t="s">
        <v>746</v>
      </c>
      <c r="R2" s="41" t="s">
        <v>747</v>
      </c>
      <c r="S2" s="41" t="s">
        <v>748</v>
      </c>
      <c r="T2" s="44" t="s">
        <v>749</v>
      </c>
      <c r="U2" s="44" t="s">
        <v>743</v>
      </c>
      <c r="V2" s="44" t="s">
        <v>750</v>
      </c>
      <c r="W2" s="6" t="s">
        <v>751</v>
      </c>
      <c r="X2" s="44" t="s">
        <v>744</v>
      </c>
      <c r="Y2" s="6" t="s">
        <v>752</v>
      </c>
      <c r="Z2" s="6" t="s">
        <v>745</v>
      </c>
      <c r="AA2" s="6" t="s">
        <v>705</v>
      </c>
      <c r="AB2" s="42"/>
      <c r="AC2" s="42"/>
      <c r="AD2" s="42"/>
    </row>
    <row r="3" spans="1:30" ht="39" customHeight="1" x14ac:dyDescent="0.45">
      <c r="A3" s="21" t="s">
        <v>761</v>
      </c>
      <c r="B3" s="22" t="s">
        <v>762</v>
      </c>
      <c r="C3" s="23" t="s">
        <v>763</v>
      </c>
      <c r="D3" s="23" t="s">
        <v>714</v>
      </c>
      <c r="E3" s="30"/>
      <c r="F3" s="3"/>
      <c r="G3" s="3"/>
      <c r="H3" s="3"/>
      <c r="I3" s="3">
        <v>1</v>
      </c>
      <c r="J3" s="3"/>
      <c r="K3" s="3"/>
      <c r="L3" s="3"/>
      <c r="M3" s="3"/>
      <c r="N3" s="3"/>
      <c r="O3" s="3"/>
      <c r="P3" s="6"/>
      <c r="Q3" s="3"/>
      <c r="R3" s="3"/>
      <c r="S3" s="3"/>
      <c r="T3" s="3"/>
      <c r="U3" s="3"/>
      <c r="V3" s="3">
        <v>1</v>
      </c>
      <c r="W3" s="3"/>
      <c r="X3" s="3">
        <v>2</v>
      </c>
      <c r="Y3" s="3"/>
      <c r="Z3" s="3"/>
      <c r="AA3" s="3"/>
      <c r="AB3" s="1"/>
      <c r="AC3" s="1"/>
      <c r="AD3" s="1"/>
    </row>
    <row r="4" spans="1:30" ht="39" customHeight="1" x14ac:dyDescent="0.45">
      <c r="A4" s="21" t="s">
        <v>764</v>
      </c>
      <c r="B4" s="22" t="s">
        <v>765</v>
      </c>
      <c r="C4" s="23" t="s">
        <v>766</v>
      </c>
      <c r="D4" s="23" t="s">
        <v>714</v>
      </c>
      <c r="E4" s="30"/>
      <c r="F4" s="3"/>
      <c r="G4" s="3"/>
      <c r="H4" s="3"/>
      <c r="I4" s="3"/>
      <c r="J4" s="3"/>
      <c r="K4" s="3"/>
      <c r="L4" s="3"/>
      <c r="M4" s="3"/>
      <c r="N4" s="3"/>
      <c r="O4" s="3"/>
      <c r="P4" s="6"/>
      <c r="Q4" s="3"/>
      <c r="R4" s="3"/>
      <c r="S4" s="3"/>
      <c r="T4" s="3"/>
      <c r="U4" s="3"/>
      <c r="V4" s="3"/>
      <c r="W4" s="3"/>
      <c r="X4" s="3">
        <v>2</v>
      </c>
      <c r="Y4" s="3"/>
      <c r="Z4" s="3"/>
      <c r="AA4" s="3"/>
      <c r="AB4" s="1"/>
      <c r="AC4" s="1"/>
      <c r="AD4" s="1"/>
    </row>
    <row r="5" spans="1:30" x14ac:dyDescent="0.4">
      <c r="A5" s="45"/>
      <c r="B5" s="30"/>
      <c r="C5" s="30"/>
      <c r="D5" s="46"/>
      <c r="E5" s="30"/>
      <c r="F5" s="30">
        <f t="shared" ref="F5:N5" si="0">SUM(F3:F4)</f>
        <v>0</v>
      </c>
      <c r="G5" s="30">
        <f t="shared" si="0"/>
        <v>0</v>
      </c>
      <c r="H5" s="30">
        <f t="shared" si="0"/>
        <v>0</v>
      </c>
      <c r="I5" s="30">
        <f t="shared" si="0"/>
        <v>1</v>
      </c>
      <c r="J5" s="30">
        <f t="shared" si="0"/>
        <v>0</v>
      </c>
      <c r="K5" s="30">
        <f t="shared" si="0"/>
        <v>0</v>
      </c>
      <c r="L5" s="30">
        <f t="shared" si="0"/>
        <v>0</v>
      </c>
      <c r="M5" s="30">
        <f t="shared" si="0"/>
        <v>0</v>
      </c>
      <c r="N5" s="30">
        <f t="shared" si="0"/>
        <v>0</v>
      </c>
      <c r="O5" s="30"/>
      <c r="P5" s="30">
        <f t="shared" ref="P5:X5" si="1">SUM(P3:P4)</f>
        <v>0</v>
      </c>
      <c r="Q5" s="30">
        <f t="shared" si="1"/>
        <v>0</v>
      </c>
      <c r="R5" s="30">
        <f t="shared" si="1"/>
        <v>0</v>
      </c>
      <c r="S5" s="30">
        <f t="shared" si="1"/>
        <v>0</v>
      </c>
      <c r="T5" s="30">
        <f t="shared" si="1"/>
        <v>0</v>
      </c>
      <c r="U5" s="30">
        <f t="shared" si="1"/>
        <v>0</v>
      </c>
      <c r="V5" s="30">
        <f t="shared" si="1"/>
        <v>1</v>
      </c>
      <c r="W5" s="30">
        <f t="shared" si="1"/>
        <v>0</v>
      </c>
      <c r="X5" s="30">
        <f t="shared" si="1"/>
        <v>4</v>
      </c>
      <c r="Y5" s="30"/>
      <c r="Z5" s="30"/>
      <c r="AA5" s="30">
        <f>SUM(AA3:AA4)</f>
        <v>0</v>
      </c>
      <c r="AB5" s="47"/>
      <c r="AC5" s="47"/>
      <c r="AD5" s="47"/>
    </row>
    <row r="11" spans="1:30" x14ac:dyDescent="0.45">
      <c r="Q11" t="s">
        <v>757</v>
      </c>
    </row>
  </sheetData>
  <mergeCells count="6">
    <mergeCell ref="E1:P1"/>
    <mergeCell ref="Q1:AA1"/>
    <mergeCell ref="A1:A2"/>
    <mergeCell ref="B1:B2"/>
    <mergeCell ref="C1:C2"/>
    <mergeCell ref="D1:D2"/>
  </mergeCells>
  <phoneticPr fontId="35" type="noConversion"/>
  <pageMargins left="0.75" right="0.75" top="1" bottom="1" header="0.51" footer="0.5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IJ70"/>
  <sheetViews>
    <sheetView workbookViewId="0">
      <selection sqref="A1:D10"/>
    </sheetView>
  </sheetViews>
  <sheetFormatPr defaultColWidth="9" defaultRowHeight="15.3" x14ac:dyDescent="0.45"/>
  <cols>
    <col min="1" max="1" width="14" customWidth="1"/>
    <col min="2" max="2" width="29.5" customWidth="1"/>
    <col min="3" max="3" width="17.09765625" customWidth="1"/>
    <col min="5" max="5" width="16" customWidth="1"/>
    <col min="9" max="9" width="19.75" customWidth="1"/>
    <col min="10" max="10" width="23.25" customWidth="1"/>
    <col min="15" max="15" width="11.5"/>
  </cols>
  <sheetData>
    <row r="1" spans="1:12" s="10" customFormat="1" ht="24.75" customHeight="1" x14ac:dyDescent="0.45">
      <c r="A1" s="13" t="s">
        <v>758</v>
      </c>
      <c r="B1" s="14" t="s">
        <v>759</v>
      </c>
      <c r="C1" s="14" t="s">
        <v>760</v>
      </c>
      <c r="D1" s="14" t="s">
        <v>701</v>
      </c>
      <c r="E1" s="15" t="s">
        <v>767</v>
      </c>
      <c r="F1" s="14" t="s">
        <v>768</v>
      </c>
      <c r="G1" s="16" t="s">
        <v>769</v>
      </c>
      <c r="H1" s="17" t="s">
        <v>770</v>
      </c>
      <c r="I1" s="18" t="s">
        <v>771</v>
      </c>
      <c r="J1" s="19" t="s">
        <v>772</v>
      </c>
      <c r="K1" s="20" t="s">
        <v>773</v>
      </c>
    </row>
    <row r="2" spans="1:12" s="11" customFormat="1" ht="25" hidden="1" customHeight="1" x14ac:dyDescent="0.45">
      <c r="A2" s="21" t="s">
        <v>774</v>
      </c>
      <c r="B2" s="22" t="s">
        <v>775</v>
      </c>
      <c r="C2" s="23" t="s">
        <v>776</v>
      </c>
      <c r="D2" s="23" t="s">
        <v>777</v>
      </c>
      <c r="E2" s="22" t="s">
        <v>778</v>
      </c>
      <c r="F2" s="24">
        <v>80</v>
      </c>
      <c r="G2" s="22">
        <v>0</v>
      </c>
      <c r="H2" s="25">
        <v>0</v>
      </c>
      <c r="I2" s="22" t="s">
        <v>779</v>
      </c>
      <c r="J2" s="22" t="s">
        <v>779</v>
      </c>
      <c r="K2" s="23" t="s">
        <v>780</v>
      </c>
    </row>
    <row r="3" spans="1:12" s="11" customFormat="1" ht="25" customHeight="1" x14ac:dyDescent="0.45">
      <c r="A3" s="21" t="s">
        <v>761</v>
      </c>
      <c r="B3" s="22" t="s">
        <v>762</v>
      </c>
      <c r="C3" s="23" t="s">
        <v>763</v>
      </c>
      <c r="D3" s="23" t="s">
        <v>714</v>
      </c>
      <c r="E3" s="22" t="s">
        <v>781</v>
      </c>
      <c r="F3" s="22">
        <v>125</v>
      </c>
      <c r="G3" s="22">
        <v>3</v>
      </c>
      <c r="H3" s="25">
        <v>2.4E-2</v>
      </c>
      <c r="I3" s="26" t="s">
        <v>782</v>
      </c>
      <c r="J3" s="27" t="s">
        <v>783</v>
      </c>
      <c r="K3" s="22" t="s">
        <v>780</v>
      </c>
      <c r="L3" s="28" t="s">
        <v>784</v>
      </c>
    </row>
    <row r="4" spans="1:12" s="11" customFormat="1" ht="25" hidden="1" customHeight="1" x14ac:dyDescent="0.45">
      <c r="A4" s="21" t="s">
        <v>785</v>
      </c>
      <c r="B4" s="22" t="s">
        <v>786</v>
      </c>
      <c r="C4" s="23" t="s">
        <v>763</v>
      </c>
      <c r="D4" s="23" t="s">
        <v>714</v>
      </c>
      <c r="E4" s="22" t="s">
        <v>781</v>
      </c>
      <c r="F4" s="22">
        <v>125</v>
      </c>
      <c r="G4" s="22">
        <v>0</v>
      </c>
      <c r="H4" s="25">
        <v>0</v>
      </c>
      <c r="I4" s="26" t="s">
        <v>779</v>
      </c>
      <c r="J4" s="26" t="s">
        <v>779</v>
      </c>
      <c r="K4" s="22" t="s">
        <v>780</v>
      </c>
    </row>
    <row r="5" spans="1:12" s="11" customFormat="1" ht="25" hidden="1" customHeight="1" x14ac:dyDescent="0.45">
      <c r="A5" s="21" t="s">
        <v>787</v>
      </c>
      <c r="B5" s="22" t="s">
        <v>788</v>
      </c>
      <c r="C5" s="23" t="s">
        <v>763</v>
      </c>
      <c r="D5" s="23" t="s">
        <v>714</v>
      </c>
      <c r="E5" s="22" t="s">
        <v>789</v>
      </c>
      <c r="F5" s="22">
        <v>20</v>
      </c>
      <c r="G5" s="22">
        <v>0</v>
      </c>
      <c r="H5" s="25">
        <v>0</v>
      </c>
      <c r="I5" s="26" t="s">
        <v>779</v>
      </c>
      <c r="J5" s="26" t="s">
        <v>779</v>
      </c>
      <c r="K5" s="22" t="s">
        <v>780</v>
      </c>
    </row>
    <row r="6" spans="1:12" s="11" customFormat="1" ht="25" hidden="1" customHeight="1" x14ac:dyDescent="0.45">
      <c r="A6" s="21" t="s">
        <v>790</v>
      </c>
      <c r="B6" s="22" t="s">
        <v>791</v>
      </c>
      <c r="C6" s="23" t="s">
        <v>763</v>
      </c>
      <c r="D6" s="23" t="s">
        <v>714</v>
      </c>
      <c r="E6" s="22" t="s">
        <v>781</v>
      </c>
      <c r="F6" s="22">
        <v>125</v>
      </c>
      <c r="G6" s="22">
        <v>0</v>
      </c>
      <c r="H6" s="25">
        <v>0</v>
      </c>
      <c r="I6" s="26" t="s">
        <v>779</v>
      </c>
      <c r="J6" s="26" t="s">
        <v>779</v>
      </c>
      <c r="K6" s="22" t="s">
        <v>780</v>
      </c>
    </row>
    <row r="7" spans="1:12" s="11" customFormat="1" ht="25" hidden="1" customHeight="1" x14ac:dyDescent="0.45">
      <c r="A7" s="21" t="s">
        <v>792</v>
      </c>
      <c r="B7" s="22" t="s">
        <v>793</v>
      </c>
      <c r="C7" s="23" t="s">
        <v>763</v>
      </c>
      <c r="D7" s="23" t="s">
        <v>714</v>
      </c>
      <c r="E7" s="22" t="s">
        <v>794</v>
      </c>
      <c r="F7" s="22">
        <v>125</v>
      </c>
      <c r="G7" s="22">
        <v>0</v>
      </c>
      <c r="H7" s="25">
        <v>0</v>
      </c>
      <c r="I7" s="26" t="s">
        <v>779</v>
      </c>
      <c r="J7" s="26" t="s">
        <v>779</v>
      </c>
      <c r="K7" s="22" t="s">
        <v>780</v>
      </c>
    </row>
    <row r="8" spans="1:12" s="11" customFormat="1" ht="25" hidden="1" customHeight="1" x14ac:dyDescent="0.45">
      <c r="A8" s="21" t="s">
        <v>795</v>
      </c>
      <c r="B8" s="22" t="s">
        <v>796</v>
      </c>
      <c r="C8" s="23" t="s">
        <v>763</v>
      </c>
      <c r="D8" s="23" t="s">
        <v>714</v>
      </c>
      <c r="E8" s="22" t="s">
        <v>797</v>
      </c>
      <c r="F8" s="22">
        <v>80</v>
      </c>
      <c r="G8" s="22">
        <v>1</v>
      </c>
      <c r="H8" s="25">
        <v>1.2500000000000001E-2</v>
      </c>
      <c r="I8" s="144" t="s">
        <v>798</v>
      </c>
      <c r="J8" s="26" t="s">
        <v>799</v>
      </c>
      <c r="K8" s="22" t="s">
        <v>780</v>
      </c>
    </row>
    <row r="9" spans="1:12" s="11" customFormat="1" ht="25" hidden="1" customHeight="1" x14ac:dyDescent="0.45">
      <c r="A9" s="21" t="s">
        <v>800</v>
      </c>
      <c r="B9" s="22" t="s">
        <v>801</v>
      </c>
      <c r="C9" s="23" t="s">
        <v>766</v>
      </c>
      <c r="D9" s="23" t="s">
        <v>714</v>
      </c>
      <c r="E9" s="22" t="s">
        <v>802</v>
      </c>
      <c r="F9" s="22">
        <v>200</v>
      </c>
      <c r="G9" s="22">
        <v>0</v>
      </c>
      <c r="H9" s="25">
        <v>0</v>
      </c>
      <c r="I9" s="26" t="s">
        <v>779</v>
      </c>
      <c r="J9" s="26" t="s">
        <v>779</v>
      </c>
      <c r="K9" s="22" t="s">
        <v>780</v>
      </c>
    </row>
    <row r="10" spans="1:12" s="11" customFormat="1" ht="25" customHeight="1" x14ac:dyDescent="0.45">
      <c r="A10" s="21" t="s">
        <v>764</v>
      </c>
      <c r="B10" s="22" t="s">
        <v>765</v>
      </c>
      <c r="C10" s="23" t="s">
        <v>766</v>
      </c>
      <c r="D10" s="23" t="s">
        <v>714</v>
      </c>
      <c r="E10" s="22" t="s">
        <v>803</v>
      </c>
      <c r="F10" s="22">
        <v>125</v>
      </c>
      <c r="G10" s="22">
        <v>2</v>
      </c>
      <c r="H10" s="25">
        <v>1.6E-2</v>
      </c>
      <c r="I10" s="26" t="s">
        <v>804</v>
      </c>
      <c r="J10" s="26" t="s">
        <v>805</v>
      </c>
      <c r="K10" s="22" t="s">
        <v>780</v>
      </c>
      <c r="L10" s="11" t="s">
        <v>744</v>
      </c>
    </row>
    <row r="11" spans="1:12" s="11" customFormat="1" ht="25" customHeight="1" x14ac:dyDescent="0.45">
      <c r="A11" s="21" t="s">
        <v>806</v>
      </c>
      <c r="B11" s="22" t="s">
        <v>807</v>
      </c>
      <c r="C11" s="23" t="s">
        <v>763</v>
      </c>
      <c r="D11" s="23" t="s">
        <v>714</v>
      </c>
      <c r="E11" s="22" t="s">
        <v>808</v>
      </c>
      <c r="F11" s="22">
        <v>80</v>
      </c>
      <c r="G11" s="22">
        <v>1</v>
      </c>
      <c r="H11" s="25">
        <v>1.2500000000000001E-2</v>
      </c>
      <c r="I11" s="144" t="s">
        <v>809</v>
      </c>
      <c r="J11" s="26" t="s">
        <v>810</v>
      </c>
      <c r="K11" s="22" t="s">
        <v>780</v>
      </c>
      <c r="L11" s="11" t="s">
        <v>744</v>
      </c>
    </row>
    <row r="12" spans="1:12" s="11" customFormat="1" ht="25" hidden="1" customHeight="1" x14ac:dyDescent="0.45">
      <c r="A12" s="21" t="s">
        <v>806</v>
      </c>
      <c r="B12" s="22" t="s">
        <v>811</v>
      </c>
      <c r="C12" s="23" t="s">
        <v>763</v>
      </c>
      <c r="D12" s="23" t="s">
        <v>714</v>
      </c>
      <c r="E12" s="22" t="s">
        <v>812</v>
      </c>
      <c r="F12" s="22">
        <v>200</v>
      </c>
      <c r="G12" s="22">
        <v>0</v>
      </c>
      <c r="H12" s="25">
        <v>0</v>
      </c>
      <c r="I12" s="26" t="s">
        <v>779</v>
      </c>
      <c r="J12" s="26" t="s">
        <v>779</v>
      </c>
      <c r="K12" s="22" t="s">
        <v>780</v>
      </c>
    </row>
    <row r="13" spans="1:12" s="11" customFormat="1" ht="25" hidden="1" customHeight="1" x14ac:dyDescent="0.45">
      <c r="A13" s="21" t="s">
        <v>813</v>
      </c>
      <c r="B13" s="22" t="s">
        <v>814</v>
      </c>
      <c r="C13" s="23" t="s">
        <v>766</v>
      </c>
      <c r="D13" s="23" t="s">
        <v>714</v>
      </c>
      <c r="E13" s="22" t="s">
        <v>815</v>
      </c>
      <c r="F13" s="22">
        <v>200</v>
      </c>
      <c r="G13" s="22">
        <v>0</v>
      </c>
      <c r="H13" s="25">
        <v>0</v>
      </c>
      <c r="I13" s="26" t="s">
        <v>779</v>
      </c>
      <c r="J13" s="26" t="s">
        <v>779</v>
      </c>
      <c r="K13" s="22" t="s">
        <v>780</v>
      </c>
    </row>
    <row r="14" spans="1:12" s="11" customFormat="1" ht="25" hidden="1" customHeight="1" x14ac:dyDescent="0.45">
      <c r="A14" s="21" t="s">
        <v>816</v>
      </c>
      <c r="B14" s="22" t="s">
        <v>817</v>
      </c>
      <c r="C14" s="23" t="s">
        <v>763</v>
      </c>
      <c r="D14" s="23" t="s">
        <v>714</v>
      </c>
      <c r="E14" s="22" t="s">
        <v>818</v>
      </c>
      <c r="F14" s="22">
        <v>125</v>
      </c>
      <c r="G14" s="22">
        <v>1</v>
      </c>
      <c r="H14" s="25">
        <v>8.0000000000000002E-3</v>
      </c>
      <c r="I14" s="144" t="s">
        <v>819</v>
      </c>
      <c r="J14" s="26" t="s">
        <v>820</v>
      </c>
      <c r="K14" s="22" t="s">
        <v>780</v>
      </c>
    </row>
    <row r="15" spans="1:12" s="11" customFormat="1" ht="25" hidden="1" customHeight="1" x14ac:dyDescent="0.45">
      <c r="A15" s="21" t="s">
        <v>821</v>
      </c>
      <c r="B15" s="22" t="s">
        <v>822</v>
      </c>
      <c r="C15" s="23" t="s">
        <v>763</v>
      </c>
      <c r="D15" s="23" t="s">
        <v>714</v>
      </c>
      <c r="E15" s="22" t="s">
        <v>823</v>
      </c>
      <c r="F15" s="22">
        <v>80</v>
      </c>
      <c r="G15" s="22">
        <v>7</v>
      </c>
      <c r="H15" s="25">
        <v>8.7499999999999994E-2</v>
      </c>
      <c r="I15" s="26" t="s">
        <v>824</v>
      </c>
      <c r="J15" s="26" t="s">
        <v>825</v>
      </c>
      <c r="K15" s="22" t="s">
        <v>826</v>
      </c>
    </row>
    <row r="16" spans="1:12" s="11" customFormat="1" ht="25" hidden="1" customHeight="1" x14ac:dyDescent="0.45">
      <c r="A16" s="21" t="s">
        <v>821</v>
      </c>
      <c r="B16" s="22" t="s">
        <v>827</v>
      </c>
      <c r="C16" s="23" t="s">
        <v>763</v>
      </c>
      <c r="D16" s="23" t="s">
        <v>714</v>
      </c>
      <c r="E16" s="22" t="s">
        <v>828</v>
      </c>
      <c r="F16" s="22">
        <v>20</v>
      </c>
      <c r="G16" s="22">
        <v>1</v>
      </c>
      <c r="H16" s="25">
        <v>0.05</v>
      </c>
      <c r="I16" s="144" t="s">
        <v>829</v>
      </c>
      <c r="J16" s="26" t="s">
        <v>799</v>
      </c>
      <c r="K16" s="22" t="s">
        <v>826</v>
      </c>
    </row>
    <row r="17" spans="1:244" s="11" customFormat="1" hidden="1" x14ac:dyDescent="0.45">
      <c r="A17" s="21" t="s">
        <v>830</v>
      </c>
      <c r="B17" s="22" t="s">
        <v>831</v>
      </c>
      <c r="C17" s="22" t="s">
        <v>763</v>
      </c>
      <c r="D17" s="22" t="s">
        <v>714</v>
      </c>
      <c r="E17" s="22" t="s">
        <v>832</v>
      </c>
      <c r="F17" s="22">
        <v>80</v>
      </c>
      <c r="G17" s="21">
        <v>0</v>
      </c>
      <c r="H17" s="25">
        <v>0</v>
      </c>
      <c r="I17" s="22" t="s">
        <v>779</v>
      </c>
      <c r="J17" s="22" t="s">
        <v>779</v>
      </c>
      <c r="K17" s="22" t="s">
        <v>780</v>
      </c>
      <c r="ID17"/>
      <c r="IE17"/>
      <c r="IF17"/>
      <c r="IG17"/>
      <c r="IH17"/>
      <c r="II17"/>
      <c r="IJ17"/>
    </row>
    <row r="18" spans="1:244" s="11" customFormat="1" ht="25.8" x14ac:dyDescent="0.45">
      <c r="A18" s="21" t="s">
        <v>830</v>
      </c>
      <c r="B18" s="22" t="s">
        <v>833</v>
      </c>
      <c r="C18" s="22" t="s">
        <v>763</v>
      </c>
      <c r="D18" s="22" t="s">
        <v>714</v>
      </c>
      <c r="E18" s="22" t="s">
        <v>834</v>
      </c>
      <c r="F18" s="22">
        <v>125</v>
      </c>
      <c r="G18" s="21">
        <v>3</v>
      </c>
      <c r="H18" s="25">
        <v>2.4E-2</v>
      </c>
      <c r="I18" s="22" t="s">
        <v>835</v>
      </c>
      <c r="J18" s="22" t="s">
        <v>836</v>
      </c>
      <c r="K18" s="22" t="s">
        <v>780</v>
      </c>
      <c r="L18" s="11" t="s">
        <v>837</v>
      </c>
      <c r="ID18"/>
      <c r="IE18"/>
      <c r="IF18"/>
      <c r="IG18"/>
      <c r="IH18"/>
      <c r="II18"/>
      <c r="IJ18"/>
    </row>
    <row r="19" spans="1:244" s="11" customFormat="1" ht="25.8" hidden="1" x14ac:dyDescent="0.45">
      <c r="A19" s="21" t="s">
        <v>838</v>
      </c>
      <c r="B19" s="22" t="s">
        <v>839</v>
      </c>
      <c r="C19" s="22" t="s">
        <v>840</v>
      </c>
      <c r="D19" s="22" t="s">
        <v>714</v>
      </c>
      <c r="E19" s="22" t="s">
        <v>841</v>
      </c>
      <c r="F19" s="22">
        <v>200</v>
      </c>
      <c r="G19" s="21">
        <v>0</v>
      </c>
      <c r="H19" s="25">
        <v>0</v>
      </c>
      <c r="I19" s="22" t="s">
        <v>779</v>
      </c>
      <c r="J19" s="22" t="s">
        <v>779</v>
      </c>
      <c r="K19" s="22" t="s">
        <v>780</v>
      </c>
      <c r="ID19"/>
      <c r="IE19"/>
      <c r="IF19"/>
      <c r="IG19"/>
      <c r="IH19"/>
      <c r="II19"/>
      <c r="IJ19"/>
    </row>
    <row r="20" spans="1:244" s="11" customFormat="1" ht="25.8" hidden="1" x14ac:dyDescent="0.45">
      <c r="A20" s="21" t="s">
        <v>838</v>
      </c>
      <c r="B20" s="22" t="s">
        <v>842</v>
      </c>
      <c r="C20" s="22" t="s">
        <v>840</v>
      </c>
      <c r="D20" s="22" t="s">
        <v>714</v>
      </c>
      <c r="E20" s="22" t="s">
        <v>843</v>
      </c>
      <c r="F20" s="22">
        <v>125</v>
      </c>
      <c r="G20" s="21">
        <v>0</v>
      </c>
      <c r="H20" s="25">
        <v>0</v>
      </c>
      <c r="I20" s="22" t="s">
        <v>779</v>
      </c>
      <c r="J20" s="22" t="s">
        <v>779</v>
      </c>
      <c r="K20" s="22" t="s">
        <v>780</v>
      </c>
      <c r="ID20"/>
      <c r="IE20"/>
      <c r="IF20"/>
      <c r="IG20"/>
      <c r="IH20"/>
      <c r="II20"/>
      <c r="IJ20"/>
    </row>
    <row r="21" spans="1:244" s="11" customFormat="1" hidden="1" x14ac:dyDescent="0.45">
      <c r="A21" s="22" t="s">
        <v>844</v>
      </c>
      <c r="B21" s="22" t="s">
        <v>845</v>
      </c>
      <c r="C21" s="22" t="s">
        <v>763</v>
      </c>
      <c r="D21" s="22" t="s">
        <v>714</v>
      </c>
      <c r="E21" s="22">
        <v>3156</v>
      </c>
      <c r="F21" s="22">
        <v>125</v>
      </c>
      <c r="G21" s="22">
        <v>0</v>
      </c>
      <c r="H21" s="25">
        <v>0</v>
      </c>
      <c r="I21" s="22" t="s">
        <v>779</v>
      </c>
      <c r="J21" s="22" t="s">
        <v>779</v>
      </c>
      <c r="K21" s="22" t="s">
        <v>780</v>
      </c>
      <c r="ID21"/>
      <c r="IE21"/>
      <c r="IF21"/>
      <c r="IG21"/>
      <c r="IH21"/>
      <c r="II21"/>
      <c r="IJ21"/>
    </row>
    <row r="22" spans="1:244" s="11" customFormat="1" hidden="1" x14ac:dyDescent="0.45">
      <c r="A22" s="22" t="s">
        <v>846</v>
      </c>
      <c r="B22" s="22" t="s">
        <v>847</v>
      </c>
      <c r="C22" s="22" t="s">
        <v>763</v>
      </c>
      <c r="D22" s="22" t="s">
        <v>714</v>
      </c>
      <c r="E22" s="22">
        <v>1104</v>
      </c>
      <c r="F22" s="22">
        <v>80</v>
      </c>
      <c r="G22" s="22">
        <v>0</v>
      </c>
      <c r="H22" s="25">
        <v>0</v>
      </c>
      <c r="I22" s="22" t="s">
        <v>779</v>
      </c>
      <c r="J22" s="22" t="s">
        <v>779</v>
      </c>
      <c r="K22" s="22" t="s">
        <v>780</v>
      </c>
      <c r="ID22"/>
      <c r="IE22"/>
      <c r="IF22"/>
      <c r="IG22"/>
      <c r="IH22"/>
      <c r="II22"/>
      <c r="IJ22"/>
    </row>
    <row r="23" spans="1:244" s="11" customFormat="1" hidden="1" x14ac:dyDescent="0.45">
      <c r="A23" s="22" t="s">
        <v>848</v>
      </c>
      <c r="B23" s="22" t="s">
        <v>849</v>
      </c>
      <c r="C23" s="29" t="s">
        <v>850</v>
      </c>
      <c r="D23" s="22" t="s">
        <v>714</v>
      </c>
      <c r="E23" s="22">
        <v>4000</v>
      </c>
      <c r="F23" s="22">
        <v>200</v>
      </c>
      <c r="G23" s="22">
        <v>0</v>
      </c>
      <c r="H23" s="25">
        <v>0</v>
      </c>
      <c r="I23" s="22" t="s">
        <v>779</v>
      </c>
      <c r="J23" s="22" t="s">
        <v>779</v>
      </c>
      <c r="K23" s="22" t="s">
        <v>780</v>
      </c>
      <c r="ID23"/>
      <c r="IE23"/>
      <c r="IF23"/>
      <c r="IG23"/>
      <c r="IH23"/>
      <c r="II23"/>
      <c r="IJ23"/>
    </row>
    <row r="24" spans="1:244" s="11" customFormat="1" hidden="1" x14ac:dyDescent="0.45">
      <c r="A24" s="22" t="s">
        <v>851</v>
      </c>
      <c r="B24" s="22" t="s">
        <v>852</v>
      </c>
      <c r="C24" s="22" t="s">
        <v>853</v>
      </c>
      <c r="D24" s="22" t="s">
        <v>714</v>
      </c>
      <c r="E24" s="22">
        <v>3740</v>
      </c>
      <c r="F24" s="22">
        <v>200</v>
      </c>
      <c r="G24" s="22">
        <v>1</v>
      </c>
      <c r="H24" s="25">
        <v>5.0000000000000001E-3</v>
      </c>
      <c r="I24" s="145" t="s">
        <v>854</v>
      </c>
      <c r="J24" s="22" t="s">
        <v>855</v>
      </c>
      <c r="K24" s="22" t="s">
        <v>780</v>
      </c>
      <c r="ID24"/>
      <c r="IE24"/>
      <c r="IF24"/>
      <c r="IG24"/>
      <c r="IH24"/>
      <c r="II24"/>
      <c r="IJ24"/>
    </row>
    <row r="25" spans="1:244" s="11" customFormat="1" hidden="1" x14ac:dyDescent="0.45">
      <c r="A25" s="22" t="s">
        <v>856</v>
      </c>
      <c r="B25" s="22" t="s">
        <v>857</v>
      </c>
      <c r="C25" s="22" t="s">
        <v>858</v>
      </c>
      <c r="D25" s="22" t="s">
        <v>714</v>
      </c>
      <c r="E25" s="22" t="s">
        <v>859</v>
      </c>
      <c r="F25" s="22">
        <v>200</v>
      </c>
      <c r="G25" s="30">
        <v>2</v>
      </c>
      <c r="H25" s="25">
        <v>0.01</v>
      </c>
      <c r="I25" s="22" t="s">
        <v>860</v>
      </c>
      <c r="J25" s="22" t="s">
        <v>861</v>
      </c>
      <c r="K25" s="22" t="s">
        <v>780</v>
      </c>
      <c r="ID25"/>
      <c r="IE25"/>
      <c r="IF25"/>
      <c r="IG25"/>
      <c r="IH25"/>
      <c r="II25"/>
      <c r="IJ25"/>
    </row>
    <row r="26" spans="1:244" s="11" customFormat="1" hidden="1" x14ac:dyDescent="0.45">
      <c r="A26" s="30" t="s">
        <v>862</v>
      </c>
      <c r="B26" s="30" t="s">
        <v>857</v>
      </c>
      <c r="C26" s="30" t="s">
        <v>858</v>
      </c>
      <c r="D26" s="30" t="s">
        <v>714</v>
      </c>
      <c r="E26" s="30" t="s">
        <v>863</v>
      </c>
      <c r="F26" s="22">
        <v>200</v>
      </c>
      <c r="G26" s="30">
        <v>2</v>
      </c>
      <c r="H26" s="25">
        <v>0.01</v>
      </c>
      <c r="I26" s="22" t="s">
        <v>864</v>
      </c>
      <c r="J26" s="22" t="s">
        <v>865</v>
      </c>
      <c r="K26" s="22" t="s">
        <v>780</v>
      </c>
      <c r="ID26"/>
      <c r="IE26"/>
      <c r="IF26"/>
      <c r="IG26"/>
      <c r="IH26"/>
      <c r="II26"/>
      <c r="IJ26"/>
    </row>
    <row r="27" spans="1:244" s="11" customFormat="1" hidden="1" x14ac:dyDescent="0.45">
      <c r="A27" s="30" t="s">
        <v>866</v>
      </c>
      <c r="B27" s="30" t="s">
        <v>857</v>
      </c>
      <c r="C27" s="30" t="s">
        <v>858</v>
      </c>
      <c r="D27" s="30" t="s">
        <v>714</v>
      </c>
      <c r="E27" s="30" t="s">
        <v>867</v>
      </c>
      <c r="F27" s="22">
        <v>80</v>
      </c>
      <c r="G27" s="30">
        <v>0</v>
      </c>
      <c r="H27" s="25">
        <v>0</v>
      </c>
      <c r="I27" s="22" t="s">
        <v>779</v>
      </c>
      <c r="J27" s="22" t="s">
        <v>779</v>
      </c>
      <c r="K27" s="22" t="s">
        <v>780</v>
      </c>
      <c r="ID27"/>
      <c r="IE27"/>
      <c r="IF27"/>
      <c r="IG27"/>
      <c r="IH27"/>
      <c r="II27"/>
      <c r="IJ27"/>
    </row>
    <row r="28" spans="1:244" s="11" customFormat="1" ht="25.8" x14ac:dyDescent="0.45">
      <c r="A28" s="22" t="s">
        <v>868</v>
      </c>
      <c r="B28" s="22" t="s">
        <v>857</v>
      </c>
      <c r="C28" s="30" t="s">
        <v>858</v>
      </c>
      <c r="D28" s="30" t="s">
        <v>714</v>
      </c>
      <c r="E28" s="30" t="s">
        <v>869</v>
      </c>
      <c r="F28" s="22">
        <v>200</v>
      </c>
      <c r="G28" s="21">
        <v>4</v>
      </c>
      <c r="H28" s="25">
        <v>0.02</v>
      </c>
      <c r="I28" s="22" t="s">
        <v>870</v>
      </c>
      <c r="J28" s="22" t="s">
        <v>871</v>
      </c>
      <c r="K28" s="22" t="s">
        <v>780</v>
      </c>
      <c r="ID28"/>
      <c r="IE28"/>
      <c r="IF28"/>
      <c r="IG28"/>
      <c r="IH28"/>
      <c r="II28"/>
      <c r="IJ28"/>
    </row>
    <row r="29" spans="1:244" s="11" customFormat="1" ht="25.8" hidden="1" x14ac:dyDescent="0.45">
      <c r="A29" s="22" t="s">
        <v>872</v>
      </c>
      <c r="B29" s="30" t="s">
        <v>873</v>
      </c>
      <c r="C29" s="30" t="s">
        <v>840</v>
      </c>
      <c r="D29" s="30" t="s">
        <v>714</v>
      </c>
      <c r="E29" s="22" t="s">
        <v>874</v>
      </c>
      <c r="F29" s="22">
        <v>125</v>
      </c>
      <c r="G29" s="21">
        <v>0</v>
      </c>
      <c r="H29" s="25">
        <v>0</v>
      </c>
      <c r="I29" s="22" t="s">
        <v>779</v>
      </c>
      <c r="J29" s="22" t="s">
        <v>779</v>
      </c>
      <c r="K29" s="22" t="s">
        <v>780</v>
      </c>
      <c r="ID29"/>
      <c r="IE29"/>
      <c r="IF29"/>
      <c r="IG29"/>
      <c r="IH29"/>
      <c r="II29"/>
      <c r="IJ29"/>
    </row>
    <row r="30" spans="1:244" s="11" customFormat="1" ht="25.8" hidden="1" x14ac:dyDescent="0.45">
      <c r="A30" s="30" t="s">
        <v>875</v>
      </c>
      <c r="B30" s="30" t="s">
        <v>873</v>
      </c>
      <c r="C30" s="30" t="s">
        <v>840</v>
      </c>
      <c r="D30" s="30" t="s">
        <v>714</v>
      </c>
      <c r="E30" s="22" t="s">
        <v>874</v>
      </c>
      <c r="F30" s="22">
        <v>125</v>
      </c>
      <c r="G30" s="22">
        <v>0</v>
      </c>
      <c r="H30" s="25">
        <v>0</v>
      </c>
      <c r="I30" s="22" t="s">
        <v>779</v>
      </c>
      <c r="J30" s="22" t="s">
        <v>779</v>
      </c>
      <c r="K30" s="22" t="s">
        <v>780</v>
      </c>
      <c r="ID30"/>
      <c r="IE30"/>
      <c r="IF30"/>
      <c r="IG30"/>
      <c r="IH30"/>
      <c r="II30"/>
      <c r="IJ30"/>
    </row>
    <row r="31" spans="1:244" s="11" customFormat="1" hidden="1" x14ac:dyDescent="0.45">
      <c r="A31" s="30" t="s">
        <v>876</v>
      </c>
      <c r="B31" s="22" t="s">
        <v>877</v>
      </c>
      <c r="C31" s="22" t="s">
        <v>766</v>
      </c>
      <c r="D31" s="22" t="s">
        <v>714</v>
      </c>
      <c r="E31" s="22" t="s">
        <v>878</v>
      </c>
      <c r="F31" s="22">
        <v>50</v>
      </c>
      <c r="G31" s="22">
        <v>0</v>
      </c>
      <c r="H31" s="25">
        <v>0</v>
      </c>
      <c r="I31" s="22" t="s">
        <v>779</v>
      </c>
      <c r="J31" s="22" t="s">
        <v>779</v>
      </c>
      <c r="K31" s="22" t="s">
        <v>780</v>
      </c>
      <c r="ID31"/>
      <c r="IE31"/>
      <c r="IF31"/>
      <c r="IG31"/>
      <c r="IH31"/>
      <c r="II31"/>
      <c r="IJ31"/>
    </row>
    <row r="32" spans="1:244" s="11" customFormat="1" hidden="1" x14ac:dyDescent="0.45">
      <c r="A32" s="22" t="s">
        <v>879</v>
      </c>
      <c r="B32" s="31" t="s">
        <v>880</v>
      </c>
      <c r="C32" s="22" t="s">
        <v>763</v>
      </c>
      <c r="D32" s="22" t="s">
        <v>714</v>
      </c>
      <c r="E32" s="31">
        <v>228</v>
      </c>
      <c r="F32" s="22">
        <v>50</v>
      </c>
      <c r="G32" s="22">
        <v>0</v>
      </c>
      <c r="H32" s="25">
        <v>0</v>
      </c>
      <c r="I32" s="22" t="s">
        <v>779</v>
      </c>
      <c r="J32" s="22" t="s">
        <v>779</v>
      </c>
      <c r="K32" s="22" t="s">
        <v>780</v>
      </c>
      <c r="ID32"/>
      <c r="IE32"/>
      <c r="IF32"/>
      <c r="IG32"/>
      <c r="IH32"/>
      <c r="II32"/>
      <c r="IJ32"/>
    </row>
    <row r="33" spans="1:244" s="11" customFormat="1" hidden="1" x14ac:dyDescent="0.45">
      <c r="A33" s="22" t="s">
        <v>881</v>
      </c>
      <c r="B33" s="22" t="s">
        <v>882</v>
      </c>
      <c r="C33" s="22" t="s">
        <v>883</v>
      </c>
      <c r="D33" s="22" t="s">
        <v>714</v>
      </c>
      <c r="E33" s="22">
        <v>480</v>
      </c>
      <c r="F33" s="22">
        <v>50</v>
      </c>
      <c r="G33" s="22">
        <v>0</v>
      </c>
      <c r="H33" s="25">
        <v>0</v>
      </c>
      <c r="I33" s="22" t="s">
        <v>779</v>
      </c>
      <c r="J33" s="22" t="s">
        <v>779</v>
      </c>
      <c r="K33" s="22" t="s">
        <v>780</v>
      </c>
      <c r="ID33"/>
      <c r="IE33"/>
      <c r="IF33"/>
      <c r="IG33"/>
      <c r="IH33"/>
      <c r="II33"/>
      <c r="IJ33"/>
    </row>
    <row r="34" spans="1:244" s="11" customFormat="1" hidden="1" x14ac:dyDescent="0.45">
      <c r="A34" s="22" t="s">
        <v>881</v>
      </c>
      <c r="B34" s="30" t="s">
        <v>884</v>
      </c>
      <c r="C34" s="22" t="s">
        <v>766</v>
      </c>
      <c r="D34" s="22" t="s">
        <v>714</v>
      </c>
      <c r="E34" s="22" t="s">
        <v>885</v>
      </c>
      <c r="F34" s="22">
        <v>50</v>
      </c>
      <c r="G34" s="22">
        <v>0</v>
      </c>
      <c r="H34" s="25">
        <v>0</v>
      </c>
      <c r="I34" s="22" t="s">
        <v>779</v>
      </c>
      <c r="J34" s="22" t="s">
        <v>779</v>
      </c>
      <c r="K34" s="22" t="s">
        <v>780</v>
      </c>
      <c r="ID34"/>
      <c r="IE34"/>
      <c r="IF34"/>
      <c r="IG34"/>
      <c r="IH34"/>
      <c r="II34"/>
      <c r="IJ34"/>
    </row>
    <row r="35" spans="1:244" s="11" customFormat="1" ht="25.8" hidden="1" x14ac:dyDescent="0.45">
      <c r="A35" s="30" t="s">
        <v>886</v>
      </c>
      <c r="B35" s="22" t="s">
        <v>887</v>
      </c>
      <c r="C35" s="22" t="s">
        <v>840</v>
      </c>
      <c r="D35" s="22" t="s">
        <v>714</v>
      </c>
      <c r="E35" s="22" t="s">
        <v>888</v>
      </c>
      <c r="F35" s="22">
        <v>50</v>
      </c>
      <c r="G35" s="30">
        <v>0</v>
      </c>
      <c r="H35" s="25">
        <v>0</v>
      </c>
      <c r="I35" s="22" t="s">
        <v>779</v>
      </c>
      <c r="J35" s="22" t="s">
        <v>779</v>
      </c>
      <c r="K35" s="22" t="s">
        <v>780</v>
      </c>
      <c r="ID35"/>
      <c r="IE35"/>
      <c r="IF35"/>
      <c r="IG35"/>
      <c r="IH35"/>
      <c r="II35"/>
      <c r="IJ35"/>
    </row>
    <row r="36" spans="1:244" s="11" customFormat="1" ht="25.8" hidden="1" x14ac:dyDescent="0.45">
      <c r="A36" s="30" t="s">
        <v>889</v>
      </c>
      <c r="B36" s="22" t="s">
        <v>887</v>
      </c>
      <c r="C36" s="22" t="s">
        <v>840</v>
      </c>
      <c r="D36" s="22" t="s">
        <v>714</v>
      </c>
      <c r="E36" s="22" t="s">
        <v>890</v>
      </c>
      <c r="F36" s="22">
        <v>50</v>
      </c>
      <c r="G36" s="22">
        <v>1</v>
      </c>
      <c r="H36" s="25">
        <v>0.02</v>
      </c>
      <c r="I36" s="145" t="s">
        <v>891</v>
      </c>
      <c r="J36" s="22" t="s">
        <v>892</v>
      </c>
      <c r="K36" s="22" t="s">
        <v>780</v>
      </c>
      <c r="ID36"/>
      <c r="IE36"/>
      <c r="IF36"/>
      <c r="IG36"/>
      <c r="IH36"/>
      <c r="II36"/>
      <c r="IJ36"/>
    </row>
    <row r="37" spans="1:244" s="11" customFormat="1" ht="25" hidden="1" customHeight="1" x14ac:dyDescent="0.45">
      <c r="A37" s="21" t="s">
        <v>893</v>
      </c>
      <c r="B37" s="29" t="s">
        <v>894</v>
      </c>
      <c r="C37" s="29" t="s">
        <v>763</v>
      </c>
      <c r="D37" s="21" t="s">
        <v>714</v>
      </c>
      <c r="E37" s="29">
        <v>1000</v>
      </c>
      <c r="F37" s="21">
        <v>50</v>
      </c>
      <c r="G37" s="21">
        <v>0</v>
      </c>
      <c r="H37" s="25">
        <v>0</v>
      </c>
      <c r="I37" s="22" t="s">
        <v>779</v>
      </c>
      <c r="J37" s="22" t="s">
        <v>779</v>
      </c>
      <c r="K37" s="23" t="s">
        <v>780</v>
      </c>
      <c r="L37" s="32"/>
    </row>
    <row r="38" spans="1:244" s="11" customFormat="1" ht="25" hidden="1" customHeight="1" x14ac:dyDescent="0.45">
      <c r="A38" s="21" t="s">
        <v>895</v>
      </c>
      <c r="B38" s="21" t="s">
        <v>896</v>
      </c>
      <c r="C38" s="21" t="s">
        <v>763</v>
      </c>
      <c r="D38" s="21" t="s">
        <v>714</v>
      </c>
      <c r="E38" s="30" t="s">
        <v>897</v>
      </c>
      <c r="F38" s="21">
        <v>50</v>
      </c>
      <c r="G38" s="21">
        <v>0</v>
      </c>
      <c r="H38" s="25">
        <v>0</v>
      </c>
      <c r="I38" s="22" t="s">
        <v>779</v>
      </c>
      <c r="J38" s="22" t="s">
        <v>779</v>
      </c>
      <c r="K38" s="23" t="s">
        <v>780</v>
      </c>
      <c r="L38" s="32"/>
    </row>
    <row r="39" spans="1:244" s="11" customFormat="1" ht="25" hidden="1" customHeight="1" x14ac:dyDescent="0.45">
      <c r="A39" s="21" t="s">
        <v>898</v>
      </c>
      <c r="B39" s="29" t="s">
        <v>899</v>
      </c>
      <c r="C39" s="29" t="s">
        <v>900</v>
      </c>
      <c r="D39" s="29" t="s">
        <v>714</v>
      </c>
      <c r="E39" s="29">
        <v>1500</v>
      </c>
      <c r="F39" s="21">
        <v>50</v>
      </c>
      <c r="G39" s="21">
        <v>1</v>
      </c>
      <c r="H39" s="25">
        <v>0.02</v>
      </c>
      <c r="I39" s="145" t="s">
        <v>901</v>
      </c>
      <c r="J39" s="22" t="s">
        <v>902</v>
      </c>
      <c r="K39" s="23" t="s">
        <v>780</v>
      </c>
      <c r="L39" s="32"/>
      <c r="M39" s="32"/>
      <c r="N39" s="32"/>
    </row>
    <row r="40" spans="1:244" s="11" customFormat="1" ht="25" hidden="1" customHeight="1" x14ac:dyDescent="0.45">
      <c r="A40" s="21" t="s">
        <v>903</v>
      </c>
      <c r="B40" s="21" t="s">
        <v>904</v>
      </c>
      <c r="C40" s="21" t="s">
        <v>905</v>
      </c>
      <c r="D40" s="21" t="s">
        <v>714</v>
      </c>
      <c r="E40" s="21">
        <v>102</v>
      </c>
      <c r="F40" s="21">
        <v>50</v>
      </c>
      <c r="G40" s="21">
        <v>0</v>
      </c>
      <c r="H40" s="25">
        <v>0</v>
      </c>
      <c r="I40" s="22" t="s">
        <v>779</v>
      </c>
      <c r="J40" s="22" t="s">
        <v>779</v>
      </c>
      <c r="K40" s="23" t="s">
        <v>780</v>
      </c>
      <c r="L40" s="32"/>
    </row>
    <row r="41" spans="1:244" s="11" customFormat="1" ht="25" hidden="1" customHeight="1" x14ac:dyDescent="0.45">
      <c r="A41" s="21" t="s">
        <v>906</v>
      </c>
      <c r="B41" s="29" t="s">
        <v>907</v>
      </c>
      <c r="C41" s="29" t="s">
        <v>858</v>
      </c>
      <c r="D41" s="29" t="s">
        <v>714</v>
      </c>
      <c r="E41" s="29" t="s">
        <v>908</v>
      </c>
      <c r="F41" s="21">
        <v>50</v>
      </c>
      <c r="G41" s="21">
        <v>1</v>
      </c>
      <c r="H41" s="25">
        <v>0.02</v>
      </c>
      <c r="I41" s="145" t="s">
        <v>909</v>
      </c>
      <c r="J41" s="22" t="s">
        <v>43</v>
      </c>
      <c r="K41" s="23" t="s">
        <v>780</v>
      </c>
      <c r="L41" s="32"/>
    </row>
    <row r="42" spans="1:244" s="11" customFormat="1" ht="25" hidden="1" customHeight="1" x14ac:dyDescent="0.45">
      <c r="A42" s="21" t="s">
        <v>910</v>
      </c>
      <c r="B42" s="21" t="s">
        <v>907</v>
      </c>
      <c r="C42" s="29" t="s">
        <v>858</v>
      </c>
      <c r="D42" s="29" t="s">
        <v>714</v>
      </c>
      <c r="E42" s="29" t="s">
        <v>911</v>
      </c>
      <c r="F42" s="21">
        <v>50</v>
      </c>
      <c r="G42" s="21">
        <v>0</v>
      </c>
      <c r="H42" s="25">
        <v>0</v>
      </c>
      <c r="I42" s="22" t="s">
        <v>779</v>
      </c>
      <c r="J42" s="22" t="s">
        <v>779</v>
      </c>
      <c r="K42" s="23" t="s">
        <v>780</v>
      </c>
      <c r="L42" s="32"/>
    </row>
    <row r="43" spans="1:244" s="11" customFormat="1" ht="25" hidden="1" customHeight="1" x14ac:dyDescent="0.45">
      <c r="A43" s="21" t="s">
        <v>912</v>
      </c>
      <c r="B43" s="21" t="s">
        <v>896</v>
      </c>
      <c r="C43" s="21" t="s">
        <v>763</v>
      </c>
      <c r="D43" s="21" t="s">
        <v>714</v>
      </c>
      <c r="E43" s="30" t="s">
        <v>913</v>
      </c>
      <c r="F43" s="21">
        <v>50</v>
      </c>
      <c r="G43" s="21">
        <v>0</v>
      </c>
      <c r="H43" s="25">
        <v>0</v>
      </c>
      <c r="I43" s="22" t="s">
        <v>779</v>
      </c>
      <c r="J43" s="22" t="s">
        <v>779</v>
      </c>
      <c r="K43" s="23" t="s">
        <v>780</v>
      </c>
      <c r="L43" s="32"/>
      <c r="M43" s="32"/>
      <c r="N43" s="32"/>
    </row>
    <row r="44" spans="1:244" s="11" customFormat="1" ht="25" hidden="1" customHeight="1" x14ac:dyDescent="0.45">
      <c r="A44" s="21" t="s">
        <v>914</v>
      </c>
      <c r="B44" s="29" t="s">
        <v>915</v>
      </c>
      <c r="C44" s="29" t="s">
        <v>916</v>
      </c>
      <c r="D44" s="29" t="s">
        <v>714</v>
      </c>
      <c r="E44" s="29">
        <v>500</v>
      </c>
      <c r="F44" s="21">
        <v>50</v>
      </c>
      <c r="G44" s="21">
        <v>0</v>
      </c>
      <c r="H44" s="25">
        <v>0</v>
      </c>
      <c r="I44" s="22" t="s">
        <v>779</v>
      </c>
      <c r="J44" s="22" t="s">
        <v>779</v>
      </c>
      <c r="K44" s="23" t="s">
        <v>780</v>
      </c>
      <c r="L44" s="32"/>
    </row>
    <row r="45" spans="1:244" s="11" customFormat="1" ht="25" hidden="1" customHeight="1" x14ac:dyDescent="0.45">
      <c r="A45" s="21" t="s">
        <v>917</v>
      </c>
      <c r="B45" s="21" t="s">
        <v>918</v>
      </c>
      <c r="C45" s="30" t="s">
        <v>840</v>
      </c>
      <c r="D45" s="21" t="s">
        <v>714</v>
      </c>
      <c r="E45" s="21" t="s">
        <v>919</v>
      </c>
      <c r="F45" s="21">
        <v>50</v>
      </c>
      <c r="G45" s="21">
        <v>0</v>
      </c>
      <c r="H45" s="25">
        <v>0</v>
      </c>
      <c r="I45" s="22" t="s">
        <v>779</v>
      </c>
      <c r="J45" s="22" t="s">
        <v>779</v>
      </c>
      <c r="K45" s="23" t="s">
        <v>780</v>
      </c>
      <c r="L45" s="32"/>
    </row>
    <row r="46" spans="1:244" s="11" customFormat="1" ht="25" hidden="1" customHeight="1" x14ac:dyDescent="0.45">
      <c r="A46" s="21" t="s">
        <v>920</v>
      </c>
      <c r="B46" s="22" t="s">
        <v>918</v>
      </c>
      <c r="C46" s="30" t="s">
        <v>840</v>
      </c>
      <c r="D46" s="21" t="s">
        <v>714</v>
      </c>
      <c r="E46" s="21" t="s">
        <v>921</v>
      </c>
      <c r="F46" s="22">
        <v>50</v>
      </c>
      <c r="G46" s="21">
        <v>0</v>
      </c>
      <c r="H46" s="25">
        <v>0</v>
      </c>
      <c r="I46" s="22" t="s">
        <v>779</v>
      </c>
      <c r="J46" s="22" t="s">
        <v>779</v>
      </c>
      <c r="K46" s="23" t="s">
        <v>780</v>
      </c>
      <c r="L46" s="32"/>
    </row>
    <row r="47" spans="1:244" s="11" customFormat="1" ht="25" hidden="1" customHeight="1" x14ac:dyDescent="0.45">
      <c r="A47" s="21" t="s">
        <v>922</v>
      </c>
      <c r="B47" s="30" t="s">
        <v>918</v>
      </c>
      <c r="C47" s="30" t="s">
        <v>840</v>
      </c>
      <c r="D47" s="21" t="s">
        <v>714</v>
      </c>
      <c r="E47" s="21" t="s">
        <v>923</v>
      </c>
      <c r="F47" s="29">
        <v>50</v>
      </c>
      <c r="G47" s="21">
        <v>0</v>
      </c>
      <c r="H47" s="25">
        <v>0</v>
      </c>
      <c r="I47" s="22" t="s">
        <v>779</v>
      </c>
      <c r="J47" s="22" t="s">
        <v>779</v>
      </c>
      <c r="K47" s="23" t="s">
        <v>780</v>
      </c>
      <c r="L47" s="32"/>
    </row>
    <row r="48" spans="1:244" s="11" customFormat="1" ht="25" hidden="1" customHeight="1" x14ac:dyDescent="0.45">
      <c r="A48" s="21" t="s">
        <v>924</v>
      </c>
      <c r="B48" s="30" t="s">
        <v>925</v>
      </c>
      <c r="C48" s="30" t="s">
        <v>858</v>
      </c>
      <c r="D48" s="30" t="s">
        <v>714</v>
      </c>
      <c r="E48" s="30">
        <v>24</v>
      </c>
      <c r="F48" s="22">
        <v>24</v>
      </c>
      <c r="G48" s="21">
        <v>0</v>
      </c>
      <c r="H48" s="25">
        <v>0</v>
      </c>
      <c r="I48" s="22" t="s">
        <v>779</v>
      </c>
      <c r="J48" s="22" t="s">
        <v>779</v>
      </c>
      <c r="K48" s="23" t="s">
        <v>780</v>
      </c>
      <c r="L48" s="32"/>
    </row>
    <row r="49" spans="1:219" s="11" customFormat="1" ht="25" hidden="1" customHeight="1" x14ac:dyDescent="0.45">
      <c r="A49" s="21" t="s">
        <v>926</v>
      </c>
      <c r="B49" s="30" t="s">
        <v>927</v>
      </c>
      <c r="C49" s="30" t="s">
        <v>840</v>
      </c>
      <c r="D49" s="30" t="s">
        <v>714</v>
      </c>
      <c r="E49" s="30" t="s">
        <v>928</v>
      </c>
      <c r="F49" s="21">
        <v>80</v>
      </c>
      <c r="G49" s="21">
        <v>0</v>
      </c>
      <c r="H49" s="25">
        <v>0</v>
      </c>
      <c r="I49" s="22" t="s">
        <v>779</v>
      </c>
      <c r="J49" s="22" t="s">
        <v>779</v>
      </c>
      <c r="K49" s="23" t="s">
        <v>780</v>
      </c>
      <c r="L49" s="32"/>
    </row>
    <row r="50" spans="1:219" s="11" customFormat="1" ht="25" hidden="1" customHeight="1" x14ac:dyDescent="0.45">
      <c r="A50" s="21" t="s">
        <v>929</v>
      </c>
      <c r="B50" s="30" t="s">
        <v>927</v>
      </c>
      <c r="C50" s="30" t="s">
        <v>840</v>
      </c>
      <c r="D50" s="30" t="s">
        <v>714</v>
      </c>
      <c r="E50" s="30" t="s">
        <v>930</v>
      </c>
      <c r="F50" s="21">
        <v>50</v>
      </c>
      <c r="G50" s="21">
        <v>0</v>
      </c>
      <c r="H50" s="25">
        <v>0</v>
      </c>
      <c r="I50" s="22" t="s">
        <v>779</v>
      </c>
      <c r="J50" s="22" t="s">
        <v>779</v>
      </c>
      <c r="K50" s="23" t="s">
        <v>780</v>
      </c>
      <c r="L50" s="32"/>
    </row>
    <row r="51" spans="1:219" s="11" customFormat="1" ht="25" hidden="1" customHeight="1" x14ac:dyDescent="0.45">
      <c r="A51" s="21" t="s">
        <v>931</v>
      </c>
      <c r="B51" s="21" t="s">
        <v>932</v>
      </c>
      <c r="C51" s="21" t="s">
        <v>933</v>
      </c>
      <c r="D51" s="21" t="s">
        <v>714</v>
      </c>
      <c r="E51" s="21">
        <v>800</v>
      </c>
      <c r="F51" s="21">
        <v>50</v>
      </c>
      <c r="G51" s="21">
        <v>0</v>
      </c>
      <c r="H51" s="25">
        <v>0</v>
      </c>
      <c r="I51" s="22" t="s">
        <v>779</v>
      </c>
      <c r="J51" s="22" t="s">
        <v>779</v>
      </c>
      <c r="K51" s="23" t="s">
        <v>780</v>
      </c>
      <c r="L51" s="32"/>
    </row>
    <row r="52" spans="1:219" s="12" customFormat="1" ht="25" hidden="1" customHeight="1" x14ac:dyDescent="0.45">
      <c r="A52" s="33" t="s">
        <v>934</v>
      </c>
      <c r="B52" s="34" t="s">
        <v>935</v>
      </c>
      <c r="C52" s="34" t="s">
        <v>850</v>
      </c>
      <c r="D52" s="34" t="s">
        <v>714</v>
      </c>
      <c r="E52" s="34">
        <v>156</v>
      </c>
      <c r="F52" s="33">
        <v>50</v>
      </c>
      <c r="G52" s="33">
        <v>0</v>
      </c>
      <c r="H52" s="35">
        <v>0</v>
      </c>
      <c r="I52" s="34" t="s">
        <v>779</v>
      </c>
      <c r="J52" s="34" t="s">
        <v>779</v>
      </c>
      <c r="K52" s="36" t="s">
        <v>780</v>
      </c>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row>
    <row r="65" spans="15:15" x14ac:dyDescent="0.45">
      <c r="O65" s="38">
        <f>1/4879</f>
        <v>2.0496003279360525E-4</v>
      </c>
    </row>
    <row r="70" spans="15:15" x14ac:dyDescent="0.45">
      <c r="O70" s="39">
        <f>2/4879</f>
        <v>4.099200655872105E-4</v>
      </c>
    </row>
  </sheetData>
  <autoFilter ref="A1:K52" xr:uid="{00000000-0009-0000-0000-000009000000}">
    <filterColumn colId="9">
      <customFilters and="1">
        <customFilter val=""/>
        <customFilter val=""/>
      </customFilters>
    </filterColumn>
  </autoFilter>
  <phoneticPr fontId="35" type="noConversion"/>
  <pageMargins left="0.75" right="0.75" top="1" bottom="1" header="0.51" footer="0.51"/>
  <pageSetup paperSize="9" orientation="portrait"/>
  <headerFooter scaleWithDoc="0"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3"/>
  <sheetViews>
    <sheetView workbookViewId="0">
      <selection activeCell="C3" sqref="C3"/>
    </sheetView>
  </sheetViews>
  <sheetFormatPr defaultColWidth="9" defaultRowHeight="15.3" x14ac:dyDescent="0.45"/>
  <cols>
    <col min="1" max="1" width="9" style="1"/>
    <col min="2" max="2" width="28.84765625" style="2" customWidth="1"/>
    <col min="3" max="3" width="25.34765625" customWidth="1"/>
  </cols>
  <sheetData>
    <row r="1" spans="1:6" ht="80.05" customHeight="1" x14ac:dyDescent="0.45">
      <c r="A1" s="3" t="s">
        <v>936</v>
      </c>
      <c r="B1" s="4" t="s">
        <v>937</v>
      </c>
      <c r="C1" s="3" t="s">
        <v>938</v>
      </c>
      <c r="D1" s="3"/>
      <c r="E1" s="3"/>
      <c r="F1" s="3"/>
    </row>
    <row r="2" spans="1:6" ht="80.05" customHeight="1" x14ac:dyDescent="0.45">
      <c r="A2" s="3">
        <v>1</v>
      </c>
      <c r="B2" s="4"/>
      <c r="C2" s="5" t="s">
        <v>939</v>
      </c>
      <c r="D2" s="6"/>
      <c r="E2" s="6"/>
      <c r="F2" s="6"/>
    </row>
    <row r="3" spans="1:6" ht="80.05" customHeight="1" x14ac:dyDescent="0.45">
      <c r="A3" s="3">
        <v>2</v>
      </c>
      <c r="B3" s="4"/>
      <c r="C3" s="6"/>
      <c r="D3" s="6"/>
      <c r="E3" s="6"/>
      <c r="F3" s="6"/>
    </row>
    <row r="4" spans="1:6" ht="80.05" customHeight="1" x14ac:dyDescent="0.45">
      <c r="A4" s="3">
        <v>3</v>
      </c>
      <c r="B4" s="4"/>
      <c r="C4" s="6"/>
      <c r="D4" s="6"/>
      <c r="E4" s="6"/>
      <c r="F4" s="6"/>
    </row>
    <row r="5" spans="1:6" ht="80.05" customHeight="1" x14ac:dyDescent="0.45">
      <c r="A5" s="3">
        <v>4</v>
      </c>
      <c r="B5" s="4"/>
      <c r="C5" s="6"/>
      <c r="D5" s="6"/>
      <c r="E5" s="6"/>
      <c r="F5" s="6"/>
    </row>
    <row r="6" spans="1:6" ht="80.05" customHeight="1" x14ac:dyDescent="0.45">
      <c r="A6" s="3">
        <v>5</v>
      </c>
      <c r="B6" s="4"/>
      <c r="C6" s="6"/>
      <c r="D6" s="6"/>
      <c r="E6" s="6"/>
      <c r="F6" s="6"/>
    </row>
    <row r="7" spans="1:6" ht="80.05" customHeight="1" x14ac:dyDescent="0.45">
      <c r="A7" s="3">
        <v>6</v>
      </c>
      <c r="B7" s="4"/>
      <c r="C7" s="6"/>
      <c r="D7" s="6"/>
      <c r="E7" s="6"/>
      <c r="F7" s="6"/>
    </row>
    <row r="8" spans="1:6" ht="80.05" customHeight="1" x14ac:dyDescent="0.45">
      <c r="A8" s="3">
        <v>7</v>
      </c>
      <c r="B8" s="7"/>
      <c r="C8" s="6"/>
      <c r="D8" s="6"/>
      <c r="E8" s="6"/>
      <c r="F8" s="6"/>
    </row>
    <row r="9" spans="1:6" ht="80.05" customHeight="1" x14ac:dyDescent="0.45">
      <c r="A9" s="3">
        <v>8</v>
      </c>
      <c r="B9" s="7"/>
      <c r="C9" s="6"/>
      <c r="D9" s="6"/>
      <c r="E9" s="6"/>
      <c r="F9" s="6"/>
    </row>
    <row r="10" spans="1:6" ht="80.05" customHeight="1" x14ac:dyDescent="0.45">
      <c r="A10" s="3">
        <v>9</v>
      </c>
      <c r="B10" s="7"/>
      <c r="C10" s="6"/>
      <c r="D10" s="6"/>
      <c r="E10" s="6"/>
      <c r="F10" s="6"/>
    </row>
    <row r="11" spans="1:6" ht="80.05" customHeight="1" x14ac:dyDescent="0.45">
      <c r="A11" s="3" t="s">
        <v>940</v>
      </c>
      <c r="B11" s="7"/>
      <c r="C11" s="6"/>
      <c r="D11" s="6"/>
      <c r="E11" s="6"/>
      <c r="F11" s="6"/>
    </row>
    <row r="12" spans="1:6" ht="80.05" customHeight="1" x14ac:dyDescent="0.45">
      <c r="A12" s="3">
        <v>11</v>
      </c>
      <c r="B12" s="7"/>
      <c r="C12" s="6"/>
      <c r="D12" s="6"/>
      <c r="E12" s="6"/>
      <c r="F12" s="6"/>
    </row>
    <row r="13" spans="1:6" ht="80.05" customHeight="1" x14ac:dyDescent="0.45">
      <c r="A13" s="3">
        <v>12</v>
      </c>
      <c r="B13" s="7"/>
      <c r="C13" s="6"/>
      <c r="D13" s="6"/>
      <c r="E13" s="6"/>
      <c r="F13" s="6"/>
    </row>
    <row r="14" spans="1:6" ht="80.05" customHeight="1" x14ac:dyDescent="0.45">
      <c r="A14" s="3">
        <v>13</v>
      </c>
      <c r="B14" s="7"/>
      <c r="C14" s="6"/>
      <c r="D14" s="6"/>
      <c r="E14" s="6"/>
      <c r="F14" s="6"/>
    </row>
    <row r="15" spans="1:6" ht="80.05" customHeight="1" x14ac:dyDescent="0.45">
      <c r="B15" s="8"/>
    </row>
    <row r="16" spans="1:6" x14ac:dyDescent="0.45">
      <c r="B16" s="8"/>
    </row>
    <row r="17" spans="2:2" x14ac:dyDescent="0.45">
      <c r="B17" s="8"/>
    </row>
    <row r="18" spans="2:2" x14ac:dyDescent="0.45">
      <c r="B18" s="8"/>
    </row>
    <row r="19" spans="2:2" x14ac:dyDescent="0.45">
      <c r="B19" s="8"/>
    </row>
    <row r="20" spans="2:2" x14ac:dyDescent="0.45">
      <c r="B20" s="8"/>
    </row>
    <row r="21" spans="2:2" x14ac:dyDescent="0.45">
      <c r="B21" s="8"/>
    </row>
    <row r="22" spans="2:2" x14ac:dyDescent="0.45">
      <c r="B22" s="8"/>
    </row>
    <row r="23" spans="2:2" x14ac:dyDescent="0.45">
      <c r="B23" s="8"/>
    </row>
    <row r="24" spans="2:2" x14ac:dyDescent="0.45">
      <c r="B24" s="8"/>
    </row>
    <row r="25" spans="2:2" x14ac:dyDescent="0.45">
      <c r="B25" s="8"/>
    </row>
    <row r="26" spans="2:2" x14ac:dyDescent="0.45">
      <c r="B26" s="8"/>
    </row>
    <row r="27" spans="2:2" x14ac:dyDescent="0.45">
      <c r="B27" s="8"/>
    </row>
    <row r="28" spans="2:2" x14ac:dyDescent="0.45">
      <c r="B28" s="8"/>
    </row>
    <row r="29" spans="2:2" x14ac:dyDescent="0.45">
      <c r="B29" s="8"/>
    </row>
    <row r="30" spans="2:2" x14ac:dyDescent="0.45">
      <c r="B30" s="8"/>
    </row>
    <row r="31" spans="2:2" x14ac:dyDescent="0.45">
      <c r="B31" s="8"/>
    </row>
    <row r="32" spans="2:2" x14ac:dyDescent="0.45">
      <c r="B32" s="8"/>
    </row>
    <row r="33" spans="2:2" x14ac:dyDescent="0.45">
      <c r="B33" s="8"/>
    </row>
    <row r="34" spans="2:2" x14ac:dyDescent="0.45">
      <c r="B34" s="8"/>
    </row>
    <row r="86" spans="2:2" x14ac:dyDescent="0.45">
      <c r="B86" s="8"/>
    </row>
    <row r="87" spans="2:2" x14ac:dyDescent="0.45">
      <c r="B87" s="8"/>
    </row>
    <row r="101" spans="2:2" x14ac:dyDescent="0.45">
      <c r="B101" s="9"/>
    </row>
    <row r="102" spans="2:2" x14ac:dyDescent="0.45">
      <c r="B102" s="9"/>
    </row>
    <row r="103" spans="2:2" x14ac:dyDescent="0.45">
      <c r="B103" s="9"/>
    </row>
  </sheetData>
  <phoneticPr fontId="35" type="noConversion"/>
  <pageMargins left="0.75" right="0.75" top="1" bottom="1" header="0.51" footer="0.51"/>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vt:i4>
      </vt:variant>
    </vt:vector>
  </HeadingPairs>
  <TitlesOfParts>
    <vt:vector size="12" baseType="lpstr">
      <vt:lpstr>FEMA</vt:lpstr>
      <vt:lpstr>PT9L</vt:lpstr>
      <vt:lpstr>严重度打分表</vt:lpstr>
      <vt:lpstr>频率度打分表</vt:lpstr>
      <vt:lpstr>探测度打分表</vt:lpstr>
      <vt:lpstr>邦定维修数据 (2)</vt:lpstr>
      <vt:lpstr>机芯维修数据</vt:lpstr>
      <vt:lpstr>全检不良数据</vt:lpstr>
      <vt:lpstr>出货不良数据 (2)</vt:lpstr>
      <vt:lpstr>出货数据</vt:lpstr>
      <vt:lpstr>PFMEA流程</vt:lpstr>
      <vt:lpstr>FEMA!Print_Area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andon</dc:creator>
  <cp:lastModifiedBy>东伟 刘</cp:lastModifiedBy>
  <cp:revision>1</cp:revision>
  <dcterms:created xsi:type="dcterms:W3CDTF">2011-03-21T09:23:56Z</dcterms:created>
  <dcterms:modified xsi:type="dcterms:W3CDTF">2026-04-21T09:06:00Z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A43F60170692475DA508D717E27A4C02_13</vt:lpwstr>
  </property>
  <property fmtid="{D5CDD505-2E9C-101B-9397-08002B2CF9AE}" pid="4" name="CalculationRule">
    <vt:i4>0</vt:i4>
  </property>
</Properties>
</file>